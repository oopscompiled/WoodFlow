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hailpopov/Desktop/Отчёты/"/>
    </mc:Choice>
  </mc:AlternateContent>
  <xr:revisionPtr revIDLastSave="0" documentId="13_ncr:1_{EF93A648-20BC-4646-BD5B-2C39B64582C9}" xr6:coauthVersionLast="47" xr6:coauthVersionMax="47" xr10:uidLastSave="{00000000-0000-0000-0000-000000000000}"/>
  <bookViews>
    <workbookView xWindow="3080" yWindow="2100" windowWidth="27840" windowHeight="16740" xr2:uid="{EDA84468-3317-CB41-9EE7-7720A41BE14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P16" i="1"/>
  <c r="N16" i="1"/>
  <c r="K7" i="1" s="1"/>
  <c r="F13" i="1"/>
  <c r="F14" i="1" s="1"/>
  <c r="O10" i="1"/>
  <c r="G7" i="1" s="1"/>
  <c r="G8" i="1" s="1"/>
  <c r="N10" i="1"/>
  <c r="J8" i="1" s="1"/>
  <c r="P8" i="1"/>
  <c r="O8" i="1"/>
  <c r="N8" i="1"/>
  <c r="F7" i="1" s="1"/>
  <c r="F8" i="1" s="1"/>
  <c r="J9" i="1" s="1"/>
  <c r="J7" i="1"/>
</calcChain>
</file>

<file path=xl/sharedStrings.xml><?xml version="1.0" encoding="utf-8"?>
<sst xmlns="http://schemas.openxmlformats.org/spreadsheetml/2006/main" count="36" uniqueCount="30">
  <si>
    <t>Отчет 1.03.2026</t>
  </si>
  <si>
    <t xml:space="preserve"> </t>
  </si>
  <si>
    <t>12/27</t>
  </si>
  <si>
    <t>Б</t>
  </si>
  <si>
    <t>А</t>
  </si>
  <si>
    <t>Эксп Китай</t>
  </si>
  <si>
    <t>Эксп Турция</t>
  </si>
  <si>
    <t>37х87х2,95</t>
  </si>
  <si>
    <t>Китай Б</t>
  </si>
  <si>
    <t>Китай А</t>
  </si>
  <si>
    <t>Китай Малые</t>
  </si>
  <si>
    <t>Куб. м.</t>
  </si>
  <si>
    <t>Кол-во пак.</t>
  </si>
  <si>
    <t>Лес.</t>
  </si>
  <si>
    <t>Отбр.</t>
  </si>
  <si>
    <t>Щепа</t>
  </si>
  <si>
    <t>Отбр. Пак.</t>
  </si>
  <si>
    <t>Отбр. Куб.</t>
  </si>
  <si>
    <t>Акула</t>
  </si>
  <si>
    <t>куб.м.</t>
  </si>
  <si>
    <t>лес</t>
  </si>
  <si>
    <t>43х93х3,02</t>
  </si>
  <si>
    <t>Турция Б</t>
  </si>
  <si>
    <t>Турция А</t>
  </si>
  <si>
    <t>Турция Малые</t>
  </si>
  <si>
    <t>Куб.м.</t>
  </si>
  <si>
    <t>Склад, кол-во пачек</t>
  </si>
  <si>
    <t>Экспорт</t>
  </si>
  <si>
    <t>Кавказ</t>
  </si>
  <si>
    <t>Отбраковка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</si>
</sst>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right"/>
    </xf>
    <xf numFmtId="2" fontId="0" fillId="4" borderId="2" xfId="0" applyNumberFormat="1" applyFill="1" applyBorder="1"/>
    <xf numFmtId="0" fontId="0" fillId="4" borderId="2" xfId="0" applyFill="1" applyBorder="1"/>
    <xf numFmtId="2" fontId="0" fillId="4" borderId="3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0" fontId="0" fillId="5" borderId="5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2" fontId="0" fillId="6" borderId="2" xfId="0" applyNumberFormat="1" applyFill="1" applyBorder="1"/>
    <xf numFmtId="0" fontId="0" fillId="5" borderId="6" xfId="0" applyFill="1" applyBorder="1"/>
    <xf numFmtId="0" fontId="0" fillId="0" borderId="1" xfId="0" applyBorder="1" applyAlignment="1">
      <alignment horizontal="center"/>
    </xf>
    <xf numFmtId="0" fontId="0" fillId="5" borderId="5" xfId="0" applyFill="1" applyBorder="1" applyAlignment="1">
      <alignment horizontal="right"/>
    </xf>
    <xf numFmtId="2" fontId="0" fillId="5" borderId="5" xfId="0" applyNumberFormat="1" applyFill="1" applyBorder="1"/>
    <xf numFmtId="2" fontId="0" fillId="5" borderId="7" xfId="0" applyNumberFormat="1" applyFill="1" applyBorder="1"/>
    <xf numFmtId="0" fontId="0" fillId="0" borderId="7" xfId="0" applyBorder="1"/>
    <xf numFmtId="0" fontId="0" fillId="3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0F6D-CE8B-BB4F-88DC-016C3F3499F9}">
  <dimension ref="A1:R26"/>
  <sheetViews>
    <sheetView tabSelected="1" workbookViewId="0">
      <selection activeCell="J33" sqref="J33"/>
    </sheetView>
  </sheetViews>
  <sheetFormatPr baseColWidth="10" defaultRowHeight="16" x14ac:dyDescent="0.2"/>
  <sheetData>
    <row r="1" spans="5:18" x14ac:dyDescent="0.2">
      <c r="Q1" s="1"/>
      <c r="R1" s="1"/>
    </row>
    <row r="2" spans="5:18" x14ac:dyDescent="0.2">
      <c r="Q2" s="1"/>
      <c r="R2" s="1"/>
    </row>
    <row r="3" spans="5:18" x14ac:dyDescent="0.2">
      <c r="G3" s="2" t="s">
        <v>0</v>
      </c>
      <c r="H3" s="2"/>
      <c r="I3" s="2"/>
      <c r="O3" t="s">
        <v>1</v>
      </c>
      <c r="Q3" s="1"/>
      <c r="R3" s="1"/>
    </row>
    <row r="4" spans="5:18" x14ac:dyDescent="0.2">
      <c r="G4" s="2"/>
      <c r="H4" s="2"/>
      <c r="I4" s="2"/>
      <c r="Q4" s="1"/>
      <c r="R4" s="1"/>
    </row>
    <row r="5" spans="5:18" ht="17" thickBot="1" x14ac:dyDescent="0.25">
      <c r="N5" s="3" t="s">
        <v>2</v>
      </c>
      <c r="O5" s="3"/>
      <c r="Q5" s="1"/>
      <c r="R5" s="1"/>
    </row>
    <row r="6" spans="5:18" ht="17" thickBot="1" x14ac:dyDescent="0.25">
      <c r="E6" s="4"/>
      <c r="F6" s="4" t="s">
        <v>3</v>
      </c>
      <c r="G6" s="4" t="s">
        <v>4</v>
      </c>
      <c r="I6" s="4"/>
      <c r="J6" s="4" t="s">
        <v>5</v>
      </c>
      <c r="K6" s="4" t="s">
        <v>6</v>
      </c>
      <c r="M6" s="4" t="s">
        <v>7</v>
      </c>
      <c r="N6" s="4" t="s">
        <v>8</v>
      </c>
      <c r="O6" s="4" t="s">
        <v>9</v>
      </c>
      <c r="P6" s="4" t="s">
        <v>10</v>
      </c>
      <c r="Q6" s="1"/>
      <c r="R6" s="1"/>
    </row>
    <row r="7" spans="5:18" ht="17" thickBot="1" x14ac:dyDescent="0.25">
      <c r="E7" s="5" t="s">
        <v>11</v>
      </c>
      <c r="F7" s="6">
        <f>N8+N10+N16+N18+P15</f>
        <v>0</v>
      </c>
      <c r="G7" s="6">
        <f>O8+P8+O10</f>
        <v>0</v>
      </c>
      <c r="I7" s="5" t="s">
        <v>11</v>
      </c>
      <c r="J7" s="6">
        <f>N8+P8+O8</f>
        <v>0</v>
      </c>
      <c r="K7" s="6">
        <f>N16+O16+P16</f>
        <v>0</v>
      </c>
      <c r="M7" s="5" t="s">
        <v>12</v>
      </c>
      <c r="N7" s="6">
        <v>0</v>
      </c>
      <c r="O7" s="7">
        <v>0</v>
      </c>
      <c r="P7" s="6">
        <v>0</v>
      </c>
      <c r="Q7" s="1"/>
      <c r="R7" s="1"/>
    </row>
    <row r="8" spans="5:18" ht="17" thickBot="1" x14ac:dyDescent="0.25">
      <c r="E8" s="5" t="s">
        <v>13</v>
      </c>
      <c r="F8" s="6">
        <f>F7*2.7</f>
        <v>0</v>
      </c>
      <c r="G8" s="6">
        <f>G7*2.1</f>
        <v>0</v>
      </c>
      <c r="I8" s="5" t="s">
        <v>14</v>
      </c>
      <c r="J8" s="8">
        <f>N10+N18+O10</f>
        <v>0</v>
      </c>
      <c r="K8" s="9"/>
      <c r="M8" s="5" t="s">
        <v>11</v>
      </c>
      <c r="N8" s="7">
        <f>N7*3.08</f>
        <v>0</v>
      </c>
      <c r="O8" s="7">
        <f>O7*3.08</f>
        <v>0</v>
      </c>
      <c r="P8" s="7">
        <f>P7*1.14</f>
        <v>0</v>
      </c>
      <c r="Q8" s="1"/>
      <c r="R8" s="1">
        <v>0</v>
      </c>
    </row>
    <row r="9" spans="5:18" ht="17" thickBot="1" x14ac:dyDescent="0.25">
      <c r="G9" s="10"/>
      <c r="I9" s="5" t="s">
        <v>15</v>
      </c>
      <c r="J9" s="8">
        <f>F8*23%</f>
        <v>0</v>
      </c>
      <c r="K9" s="9"/>
      <c r="M9" s="5" t="s">
        <v>16</v>
      </c>
      <c r="N9" s="6">
        <v>0</v>
      </c>
      <c r="O9" s="7">
        <v>0</v>
      </c>
      <c r="Q9" s="1"/>
      <c r="R9" s="1"/>
    </row>
    <row r="10" spans="5:18" ht="17" thickBot="1" x14ac:dyDescent="0.25">
      <c r="M10" s="5" t="s">
        <v>17</v>
      </c>
      <c r="N10" s="7">
        <f>3*N9</f>
        <v>0</v>
      </c>
      <c r="O10" s="7">
        <f>3*O9</f>
        <v>0</v>
      </c>
      <c r="Q10" s="1"/>
      <c r="R10" s="1"/>
    </row>
    <row r="11" spans="5:18" ht="17" thickBot="1" x14ac:dyDescent="0.25">
      <c r="Q11" s="1"/>
      <c r="R11" s="1"/>
    </row>
    <row r="12" spans="5:18" ht="17" thickBot="1" x14ac:dyDescent="0.25">
      <c r="E12" s="11"/>
      <c r="F12" s="11" t="s">
        <v>18</v>
      </c>
      <c r="Q12" s="1"/>
      <c r="R12" s="1"/>
    </row>
    <row r="13" spans="5:18" ht="17" thickBot="1" x14ac:dyDescent="0.25">
      <c r="E13" s="12" t="s">
        <v>19</v>
      </c>
      <c r="F13" s="13">
        <f>F26+G26</f>
        <v>0</v>
      </c>
      <c r="G13" s="14"/>
      <c r="N13" s="15"/>
      <c r="O13" s="15"/>
      <c r="Q13" s="1"/>
      <c r="R13" s="1"/>
    </row>
    <row r="14" spans="5:18" ht="17" thickBot="1" x14ac:dyDescent="0.25">
      <c r="E14" s="12" t="s">
        <v>20</v>
      </c>
      <c r="F14" s="13">
        <f>2.1*F13</f>
        <v>0</v>
      </c>
      <c r="G14" s="14"/>
      <c r="M14" s="4" t="s">
        <v>21</v>
      </c>
      <c r="N14" s="4" t="s">
        <v>22</v>
      </c>
      <c r="O14" s="4" t="s">
        <v>23</v>
      </c>
      <c r="P14" s="4" t="s">
        <v>24</v>
      </c>
      <c r="Q14" s="1"/>
      <c r="R14" s="1"/>
    </row>
    <row r="15" spans="5:18" ht="17" thickBot="1" x14ac:dyDescent="0.25">
      <c r="E15" s="16"/>
      <c r="F15" s="17"/>
      <c r="G15" s="18"/>
      <c r="M15" s="4" t="s">
        <v>12</v>
      </c>
      <c r="N15" s="7"/>
      <c r="O15" s="7"/>
      <c r="P15" s="7"/>
      <c r="Q15" s="1"/>
      <c r="R15" s="1"/>
    </row>
    <row r="16" spans="5:18" ht="17" thickBot="1" x14ac:dyDescent="0.25">
      <c r="E16" s="19"/>
      <c r="F16" s="19"/>
      <c r="G16" s="19"/>
      <c r="I16" t="s">
        <v>1</v>
      </c>
      <c r="M16" s="4" t="s">
        <v>25</v>
      </c>
      <c r="N16" s="7">
        <f>N15*2.17</f>
        <v>0</v>
      </c>
      <c r="O16" s="7"/>
      <c r="P16" s="7">
        <f>P15*1.3</f>
        <v>0</v>
      </c>
      <c r="Q16" s="1"/>
      <c r="R16" s="1"/>
    </row>
    <row r="17" spans="1:18" ht="17" thickBot="1" x14ac:dyDescent="0.25">
      <c r="F17" s="20" t="s">
        <v>26</v>
      </c>
      <c r="G17" s="20"/>
      <c r="H17" s="20"/>
      <c r="M17" s="4" t="s">
        <v>16</v>
      </c>
      <c r="N17" s="7"/>
      <c r="O17" s="7"/>
      <c r="Q17" s="1"/>
      <c r="R17" s="1"/>
    </row>
    <row r="18" spans="1:18" ht="17" thickBot="1" x14ac:dyDescent="0.25">
      <c r="F18" s="21" t="s">
        <v>27</v>
      </c>
      <c r="G18" s="21" t="s">
        <v>28</v>
      </c>
      <c r="H18" s="21" t="s">
        <v>29</v>
      </c>
      <c r="M18" s="4" t="s">
        <v>17</v>
      </c>
      <c r="N18" s="7">
        <f>N17*2.203</f>
        <v>0</v>
      </c>
      <c r="O18" s="7"/>
      <c r="Q18" s="1"/>
      <c r="R18" s="1"/>
    </row>
    <row r="19" spans="1:18" ht="17" thickBot="1" x14ac:dyDescent="0.25">
      <c r="F19" s="22">
        <v>0</v>
      </c>
      <c r="G19" s="22">
        <v>0</v>
      </c>
      <c r="H19" s="22">
        <v>0</v>
      </c>
      <c r="Q19" s="1"/>
      <c r="R19" s="1"/>
    </row>
    <row r="20" spans="1:18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6" spans="1:18" x14ac:dyDescent="0.2">
      <c r="F26">
        <v>0</v>
      </c>
      <c r="G26">
        <v>0</v>
      </c>
    </row>
  </sheetData>
  <mergeCells count="6">
    <mergeCell ref="G3:I4"/>
    <mergeCell ref="N5:O5"/>
    <mergeCell ref="J8:K8"/>
    <mergeCell ref="J9:K9"/>
    <mergeCell ref="N13:O13"/>
    <mergeCell ref="F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2026-03-01T15:59:58Z</dcterms:created>
  <dcterms:modified xsi:type="dcterms:W3CDTF">2026-03-01T16:01:19Z</dcterms:modified>
</cp:coreProperties>
</file>