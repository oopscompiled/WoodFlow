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80" yWindow="2100" windowWidth="27840" windowHeight="16740" tabRatio="600" firstSheet="0" activeTab="0" autoFilterDateGrouping="1"/>
  </bookViews>
  <sheets>
    <sheet name="02.03.2026" sheetId="1" state="visible" r:id="rId1"/>
    <sheet name="03.03.2026" sheetId="2" state="visible" r:id="rId2"/>
    <sheet name="06.03.2026" sheetId="3" state="visible" r:id="rId3"/>
    <sheet name="07.03.2026" sheetId="4" state="visible" r:id="rId4"/>
    <sheet name="10.03.2026" sheetId="5" state="visible" r:id="rId5"/>
    <sheet name="11.03.2026" sheetId="6" state="visible" r:id="rId6"/>
    <sheet name="14.03.2026" sheetId="7" state="visible" r:id="rId7"/>
    <sheet name="15.03.2026" sheetId="8" state="visible" r:id="rId8"/>
    <sheet name="18.03.2026" sheetId="9" state="visible" r:id="rId9"/>
    <sheet name="19.03.2026" sheetId="10" state="visible" r:id="rId10"/>
    <sheet name="22.03.2026" sheetId="11" state="visible" r:id="rId11"/>
    <sheet name="23.03.2026" sheetId="12" state="visible" r:id="rId12"/>
    <sheet name="26.03.2026" sheetId="13" state="visible" r:id="rId13"/>
    <sheet name="27.03.2026" sheetId="14" state="visible" r:id="rId14"/>
    <sheet name="30.03.2026" sheetId="15" state="visible" r:id="rId15"/>
    <sheet name="31.03.2026" sheetId="16" state="visible" r:id="rId1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204"/>
      <family val="2"/>
      <color theme="1"/>
      <sz val="12"/>
      <scheme val="minor"/>
    </font>
    <font>
      <name val="Calibri"/>
      <charset val="204"/>
      <family val="2"/>
      <color rgb="FF000000"/>
      <sz val="12"/>
      <scheme val="minor"/>
    </font>
  </fonts>
  <fills count="8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/>
    </xf>
    <xf numFmtId="0" fontId="0" fillId="3" borderId="2" pivotButton="0" quotePrefix="0" xfId="0"/>
    <xf numFmtId="0" fontId="0" fillId="3" borderId="2" applyAlignment="1" pivotButton="0" quotePrefix="0" xfId="0">
      <alignment horizontal="right"/>
    </xf>
    <xf numFmtId="2" fontId="0" fillId="4" borderId="2" pivotButton="0" quotePrefix="0" xfId="0"/>
    <xf numFmtId="0" fontId="0" fillId="4" borderId="2" pivotButton="0" quotePrefix="0" xfId="0"/>
    <xf numFmtId="2" fontId="0" fillId="4" borderId="3" applyAlignment="1" pivotButton="0" quotePrefix="0" xfId="0">
      <alignment horizontal="center"/>
    </xf>
    <xf numFmtId="2" fontId="0" fillId="4" borderId="4" applyAlignment="1" pivotButton="0" quotePrefix="0" xfId="0">
      <alignment horizontal="center"/>
    </xf>
    <xf numFmtId="0" fontId="0" fillId="5" borderId="5" pivotButton="0" quotePrefix="0" xfId="0"/>
    <xf numFmtId="0" fontId="0" fillId="2" borderId="2" pivotButton="0" quotePrefix="0" xfId="0"/>
    <xf numFmtId="0" fontId="0" fillId="2" borderId="2" applyAlignment="1" pivotButton="0" quotePrefix="0" xfId="0">
      <alignment horizontal="right"/>
    </xf>
    <xf numFmtId="2" fontId="0" fillId="6" borderId="2" pivotButton="0" quotePrefix="0" xfId="0"/>
    <xf numFmtId="0" fontId="0" fillId="5" borderId="6" pivotButton="0" quotePrefix="0" xfId="0"/>
    <xf numFmtId="0" fontId="0" fillId="0" borderId="1" applyAlignment="1" pivotButton="0" quotePrefix="0" xfId="0">
      <alignment horizontal="center"/>
    </xf>
    <xf numFmtId="0" fontId="0" fillId="5" borderId="5" applyAlignment="1" pivotButton="0" quotePrefix="0" xfId="0">
      <alignment horizontal="right"/>
    </xf>
    <xf numFmtId="2" fontId="0" fillId="5" borderId="5" pivotButton="0" quotePrefix="0" xfId="0"/>
    <xf numFmtId="2" fontId="0" fillId="5" borderId="7" pivotButton="0" quotePrefix="0" xfId="0"/>
    <xf numFmtId="0" fontId="0" fillId="0" borderId="7" pivotButton="0" quotePrefix="0" xfId="0"/>
    <xf numFmtId="0" fontId="0" fillId="3" borderId="2" applyAlignment="1" pivotButton="0" quotePrefix="0" xfId="0">
      <alignment horizontal="center"/>
    </xf>
    <xf numFmtId="0" fontId="0" fillId="7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1" pivotButton="0" quotePrefix="0" xfId="0"/>
    <xf numFmtId="2" fontId="0" fillId="4" borderId="2" applyAlignment="1" pivotButton="0" quotePrefix="0" xfId="0">
      <alignment horizontal="center"/>
    </xf>
    <xf numFmtId="0" fontId="0" fillId="0" borderId="4" pivotButton="0" quotePrefix="0" xfId="0"/>
    <xf numFmtId="0" fontId="0" fillId="0" borderId="1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tabSelected="1" workbookViewId="0">
      <selection activeCell="J33" sqref="J33"/>
    </sheetView>
  </sheetViews>
  <sheetFormatPr baseColWidth="10" defaultRowHeight="16"/>
  <sheetData>
    <row r="1">
      <c r="Q1" s="1" t="n"/>
      <c r="R1" s="1" t="n"/>
    </row>
    <row r="2">
      <c r="Q2" s="1" t="n"/>
      <c r="R2" s="1" t="n"/>
    </row>
    <row r="3">
      <c r="G3" s="2" t="inlineStr">
        <is>
          <t>Отчёт: 02.03.2026</t>
        </is>
      </c>
      <c r="O3" t="inlineStr">
        <is>
          <t> </t>
        </is>
      </c>
      <c r="Q3" s="1" t="n"/>
      <c r="R3" s="1" t="n"/>
    </row>
    <row r="4">
      <c r="Q4" s="1" t="n"/>
      <c r="R4" s="1" t="n"/>
    </row>
    <row r="5" ht="17" customHeight="1" thickBot="1">
      <c r="N5" s="3" t="inlineStr">
        <is>
          <t>12/27</t>
        </is>
      </c>
      <c r="O5" s="23" t="n"/>
      <c r="Q5" s="1" t="n"/>
      <c r="R5" s="1" t="n"/>
    </row>
    <row r="6" ht="17" customHeight="1" thickBot="1">
      <c r="E6" s="4" t="n"/>
      <c r="F6" s="4" t="inlineStr">
        <is>
          <t>Б</t>
        </is>
      </c>
      <c r="G6" s="4" t="inlineStr">
        <is>
          <t>А</t>
        </is>
      </c>
      <c r="I6" s="4" t="n"/>
      <c r="J6" s="4" t="inlineStr">
        <is>
          <t>Эксп Китай</t>
        </is>
      </c>
      <c r="K6" s="4" t="inlineStr">
        <is>
          <t>Эксп Турция</t>
        </is>
      </c>
      <c r="M6" s="4" t="inlineStr">
        <is>
          <t>37х87х2,95</t>
        </is>
      </c>
      <c r="N6" s="4" t="inlineStr">
        <is>
          <t>Китай Б</t>
        </is>
      </c>
      <c r="O6" s="4" t="inlineStr">
        <is>
          <t>Китай А</t>
        </is>
      </c>
      <c r="P6" s="4" t="inlineStr">
        <is>
          <t>Китай Малые</t>
        </is>
      </c>
      <c r="Q6" s="1" t="n"/>
      <c r="R6" s="1" t="n"/>
    </row>
    <row r="7" ht="17" customHeight="1" thickBot="1">
      <c r="E7" s="5" t="inlineStr">
        <is>
          <t>Куб. м.</t>
        </is>
      </c>
      <c r="F7" s="6">
        <f>N8+N10+N16+N18+P15</f>
        <v/>
      </c>
      <c r="G7" s="6">
        <f>O8+P8+O10</f>
        <v/>
      </c>
      <c r="I7" s="5" t="inlineStr">
        <is>
          <t>Куб. м.</t>
        </is>
      </c>
      <c r="J7" s="6">
        <f>N8+P8+O8</f>
        <v/>
      </c>
      <c r="K7" s="6">
        <f>N16+O16+P16</f>
        <v/>
      </c>
      <c r="M7" s="5" t="inlineStr">
        <is>
          <t>Кол-во пак.</t>
        </is>
      </c>
      <c r="N7" s="6" t="n">
        <v>0</v>
      </c>
      <c r="O7" s="7" t="n">
        <v>0</v>
      </c>
      <c r="P7" s="6" t="n">
        <v>0</v>
      </c>
      <c r="Q7" s="1" t="n"/>
      <c r="R7" s="1" t="n"/>
    </row>
    <row r="8" ht="17" customHeight="1" thickBot="1">
      <c r="E8" s="5" t="inlineStr">
        <is>
          <t>Лес.</t>
        </is>
      </c>
      <c r="F8" s="6">
        <f>F7*2.7</f>
        <v/>
      </c>
      <c r="G8" s="6">
        <f>G7*2.1</f>
        <v/>
      </c>
      <c r="I8" s="5" t="inlineStr">
        <is>
          <t>Отбр.</t>
        </is>
      </c>
      <c r="J8" s="24">
        <f>N10+N18+O10</f>
        <v/>
      </c>
      <c r="K8" s="25" t="n"/>
      <c r="M8" s="5" t="inlineStr">
        <is>
          <t>Куб. м.</t>
        </is>
      </c>
      <c r="N8" s="7">
        <f>N7*3.08</f>
        <v/>
      </c>
      <c r="O8" s="7">
        <f>O7*3.08</f>
        <v/>
      </c>
      <c r="P8" s="7">
        <f>P7*1.14</f>
        <v/>
      </c>
      <c r="Q8" s="1" t="n"/>
      <c r="R8" s="1" t="n">
        <v>0</v>
      </c>
    </row>
    <row r="9" ht="17" customHeight="1" thickBot="1">
      <c r="G9" s="10" t="n"/>
      <c r="I9" s="5" t="inlineStr">
        <is>
          <t>Щепа</t>
        </is>
      </c>
      <c r="J9" s="24">
        <f>F8*23%</f>
        <v/>
      </c>
      <c r="K9" s="25" t="n"/>
      <c r="M9" s="5" t="inlineStr">
        <is>
          <t>Отбр. Пак.</t>
        </is>
      </c>
      <c r="N9" s="6" t="n">
        <v>0</v>
      </c>
      <c r="O9" s="7" t="n">
        <v>0</v>
      </c>
      <c r="Q9" s="1" t="n"/>
      <c r="R9" s="1" t="n"/>
    </row>
    <row r="10" ht="17" customHeight="1" thickBot="1">
      <c r="M10" s="5" t="inlineStr">
        <is>
          <t>Отбр. Куб.</t>
        </is>
      </c>
      <c r="N10" s="7">
        <f>3*N9</f>
        <v/>
      </c>
      <c r="O10" s="7">
        <f>3*O9</f>
        <v/>
      </c>
      <c r="Q10" s="1" t="n"/>
      <c r="R10" s="1" t="n"/>
    </row>
    <row r="11" ht="17" customHeight="1" thickBot="1">
      <c r="Q11" s="1" t="n"/>
      <c r="R11" s="1" t="n"/>
    </row>
    <row r="12" ht="17" customHeight="1" thickBot="1">
      <c r="E12" s="11" t="n"/>
      <c r="F12" s="11" t="inlineStr">
        <is>
          <t>Акула</t>
        </is>
      </c>
      <c r="Q12" s="1" t="n"/>
      <c r="R12" s="1" t="n"/>
    </row>
    <row r="13" ht="17" customHeight="1" thickBot="1">
      <c r="E13" s="12" t="inlineStr">
        <is>
          <t>куб.м.</t>
        </is>
      </c>
      <c r="F13" s="13">
        <f>F26+G26</f>
        <v/>
      </c>
      <c r="G13" s="14" t="n"/>
      <c r="N13" s="15" t="n"/>
      <c r="O13" s="23" t="n"/>
      <c r="Q13" s="1" t="n"/>
      <c r="R13" s="1" t="n"/>
    </row>
    <row r="14" ht="17" customHeight="1" thickBot="1">
      <c r="E14" s="12" t="inlineStr">
        <is>
          <t>лес</t>
        </is>
      </c>
      <c r="F14" s="13">
        <f>2.1*F13</f>
        <v/>
      </c>
      <c r="G14" s="14" t="n"/>
      <c r="M14" s="4" t="inlineStr">
        <is>
          <t>43х93х3,02</t>
        </is>
      </c>
      <c r="N14" s="4" t="inlineStr">
        <is>
          <t>Турция Б</t>
        </is>
      </c>
      <c r="O14" s="4" t="inlineStr">
        <is>
          <t>Турция А</t>
        </is>
      </c>
      <c r="P14" s="4" t="inlineStr">
        <is>
          <t>Турция Малые</t>
        </is>
      </c>
      <c r="Q14" s="1" t="n"/>
      <c r="R14" s="1" t="n"/>
    </row>
    <row r="15" ht="17" customHeight="1" thickBot="1">
      <c r="E15" s="16" t="n"/>
      <c r="F15" s="17" t="n"/>
      <c r="G15" s="18" t="n"/>
      <c r="M15" s="4" t="inlineStr">
        <is>
          <t>Кол-во пак.</t>
        </is>
      </c>
      <c r="N15" s="7" t="n"/>
      <c r="O15" s="7" t="n"/>
      <c r="P15" s="7" t="n"/>
      <c r="Q15" s="1" t="n"/>
      <c r="R15" s="1" t="n"/>
    </row>
    <row r="16" ht="17" customHeight="1" thickBot="1">
      <c r="E16" s="19" t="n"/>
      <c r="F16" s="19" t="n"/>
      <c r="G16" s="19" t="n"/>
      <c r="I16" t="inlineStr">
        <is>
          <t> </t>
        </is>
      </c>
      <c r="M16" s="4" t="inlineStr">
        <is>
          <t>Куб.м.</t>
        </is>
      </c>
      <c r="N16" s="7">
        <f>N15*2.17</f>
        <v/>
      </c>
      <c r="O16" s="7" t="n"/>
      <c r="P16" s="7">
        <f>P15*1.3</f>
        <v/>
      </c>
      <c r="Q16" s="1" t="n"/>
      <c r="R16" s="1" t="n"/>
    </row>
    <row r="17" ht="17" customHeight="1" thickBot="1">
      <c r="F17" s="20" t="inlineStr">
        <is>
          <t>Склад, кол-во пачек</t>
        </is>
      </c>
      <c r="G17" s="26" t="n"/>
      <c r="H17" s="25" t="n"/>
      <c r="M17" s="4" t="inlineStr">
        <is>
          <t>Отбр. Пак.</t>
        </is>
      </c>
      <c r="N17" s="7" t="n"/>
      <c r="O17" s="7" t="n"/>
      <c r="Q17" s="1" t="n"/>
      <c r="R17" s="1" t="n"/>
    </row>
    <row r="18" ht="17" customHeight="1" thickBot="1">
      <c r="F18" s="21" t="inlineStr">
        <is>
          <t>Экспорт</t>
        </is>
      </c>
      <c r="G18" s="21" t="inlineStr">
        <is>
          <t>Кавказ</t>
        </is>
      </c>
      <c r="H18" s="21" t="inlineStr">
        <is>
          <t>Отбраковка</t>
        </is>
      </c>
      <c r="M18" s="4" t="inlineStr">
        <is>
          <t>Отбр. Куб.</t>
        </is>
      </c>
      <c r="N18" s="7">
        <f>N17*2.203</f>
        <v/>
      </c>
      <c r="O18" s="7" t="n"/>
      <c r="Q18" s="1" t="n"/>
      <c r="R18" s="1" t="n"/>
    </row>
    <row r="19" ht="17" customHeight="1" thickBot="1">
      <c r="F19" s="22" t="n">
        <v>0</v>
      </c>
      <c r="G19" s="22" t="n">
        <v>0</v>
      </c>
      <c r="H19" s="22" t="n">
        <v>0</v>
      </c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6">
      <c r="F26" t="n">
        <v>0</v>
      </c>
      <c r="G26" t="n">
        <v>0</v>
      </c>
    </row>
  </sheetData>
  <mergeCells count="6">
    <mergeCell ref="F17:H17"/>
    <mergeCell ref="N5:O5"/>
    <mergeCell ref="J8:K8"/>
    <mergeCell ref="G3:I4"/>
    <mergeCell ref="N13:O13"/>
    <mergeCell ref="J9:K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10" defaultRowHeight="16"/>
  <sheetData>
    <row r="1">
      <c r="Q1" s="1" t="n"/>
      <c r="R1" s="1" t="n"/>
    </row>
    <row r="2">
      <c r="Q2" s="1" t="n"/>
      <c r="R2" s="1" t="n"/>
    </row>
    <row r="3">
      <c r="G3" s="2" t="inlineStr">
        <is>
          <t>Отчёт: 03.03.2026</t>
        </is>
      </c>
      <c r="O3" t="inlineStr">
        <is>
          <t> </t>
        </is>
      </c>
      <c r="Q3" s="1" t="n"/>
      <c r="R3" s="1" t="n"/>
    </row>
    <row r="4">
      <c r="Q4" s="1" t="n"/>
      <c r="R4" s="1" t="n"/>
    </row>
    <row r="5" ht="17" customHeight="1" thickBot="1">
      <c r="N5" s="3" t="inlineStr">
        <is>
          <t>12/27</t>
        </is>
      </c>
      <c r="O5" s="23" t="n"/>
      <c r="Q5" s="1" t="n"/>
      <c r="R5" s="1" t="n"/>
    </row>
    <row r="6" ht="17" customHeight="1" thickBot="1">
      <c r="E6" s="4" t="n"/>
      <c r="F6" s="4" t="inlineStr">
        <is>
          <t>Б</t>
        </is>
      </c>
      <c r="G6" s="4" t="inlineStr">
        <is>
          <t>А</t>
        </is>
      </c>
      <c r="I6" s="4" t="n"/>
      <c r="J6" s="4" t="inlineStr">
        <is>
          <t>Эксп Китай</t>
        </is>
      </c>
      <c r="K6" s="4" t="inlineStr">
        <is>
          <t>Эксп Турция</t>
        </is>
      </c>
      <c r="M6" s="4" t="inlineStr">
        <is>
          <t>37х87х2,95</t>
        </is>
      </c>
      <c r="N6" s="4" t="inlineStr">
        <is>
          <t>Китай Б</t>
        </is>
      </c>
      <c r="O6" s="4" t="inlineStr">
        <is>
          <t>Китай А</t>
        </is>
      </c>
      <c r="P6" s="4" t="inlineStr">
        <is>
          <t>Китай Малые</t>
        </is>
      </c>
      <c r="Q6" s="1" t="n"/>
      <c r="R6" s="1" t="n"/>
    </row>
    <row r="7" ht="17" customHeight="1" thickBot="1">
      <c r="E7" s="5" t="inlineStr">
        <is>
          <t>Куб. м.</t>
        </is>
      </c>
      <c r="F7" s="6">
        <f>N8+N10+N16+N18+P15</f>
        <v/>
      </c>
      <c r="G7" s="6">
        <f>O8+P8+O10</f>
        <v/>
      </c>
      <c r="I7" s="5" t="inlineStr">
        <is>
          <t>Куб. м.</t>
        </is>
      </c>
      <c r="J7" s="6">
        <f>N8+P8+O8</f>
        <v/>
      </c>
      <c r="K7" s="6">
        <f>N16+O16+P16</f>
        <v/>
      </c>
      <c r="M7" s="5" t="inlineStr">
        <is>
          <t>Кол-во пак.</t>
        </is>
      </c>
      <c r="N7" s="6" t="n">
        <v>0</v>
      </c>
      <c r="O7" s="7" t="n">
        <v>0</v>
      </c>
      <c r="P7" s="6" t="n">
        <v>0</v>
      </c>
      <c r="Q7" s="1" t="n"/>
      <c r="R7" s="1" t="n"/>
    </row>
    <row r="8" ht="17" customHeight="1" thickBot="1">
      <c r="E8" s="5" t="inlineStr">
        <is>
          <t>Лес.</t>
        </is>
      </c>
      <c r="F8" s="6">
        <f>F7*2.7</f>
        <v/>
      </c>
      <c r="G8" s="6">
        <f>G7*2.1</f>
        <v/>
      </c>
      <c r="I8" s="5" t="inlineStr">
        <is>
          <t>Отбр.</t>
        </is>
      </c>
      <c r="J8" s="24">
        <f>N10+N18+O10</f>
        <v/>
      </c>
      <c r="K8" s="25" t="n"/>
      <c r="M8" s="5" t="inlineStr">
        <is>
          <t>Куб. м.</t>
        </is>
      </c>
      <c r="N8" s="7">
        <f>N7*3.08</f>
        <v/>
      </c>
      <c r="O8" s="7">
        <f>O7*3.08</f>
        <v/>
      </c>
      <c r="P8" s="7">
        <f>P7*1.14</f>
        <v/>
      </c>
      <c r="Q8" s="1" t="n"/>
      <c r="R8" s="1" t="n">
        <v>0</v>
      </c>
    </row>
    <row r="9" ht="17" customHeight="1" thickBot="1">
      <c r="G9" s="10" t="n"/>
      <c r="I9" s="5" t="inlineStr">
        <is>
          <t>Щепа</t>
        </is>
      </c>
      <c r="J9" s="24">
        <f>F8*23%</f>
        <v/>
      </c>
      <c r="K9" s="25" t="n"/>
      <c r="M9" s="5" t="inlineStr">
        <is>
          <t>Отбр. Пак.</t>
        </is>
      </c>
      <c r="N9" s="6" t="n">
        <v>0</v>
      </c>
      <c r="O9" s="7" t="n">
        <v>0</v>
      </c>
      <c r="Q9" s="1" t="n"/>
      <c r="R9" s="1" t="n"/>
    </row>
    <row r="10" ht="17" customHeight="1" thickBot="1">
      <c r="M10" s="5" t="inlineStr">
        <is>
          <t>Отбр. Куб.</t>
        </is>
      </c>
      <c r="N10" s="7">
        <f>3*N9</f>
        <v/>
      </c>
      <c r="O10" s="7">
        <f>3*O9</f>
        <v/>
      </c>
      <c r="Q10" s="1" t="n"/>
      <c r="R10" s="1" t="n"/>
    </row>
    <row r="11" ht="17" customHeight="1" thickBot="1">
      <c r="Q11" s="1" t="n"/>
      <c r="R11" s="1" t="n"/>
    </row>
    <row r="12" ht="17" customHeight="1" thickBot="1">
      <c r="E12" s="11" t="n"/>
      <c r="F12" s="11" t="inlineStr">
        <is>
          <t>Акула</t>
        </is>
      </c>
      <c r="Q12" s="1" t="n"/>
      <c r="R12" s="1" t="n"/>
    </row>
    <row r="13" ht="17" customHeight="1" thickBot="1">
      <c r="E13" s="12" t="inlineStr">
        <is>
          <t>куб.м.</t>
        </is>
      </c>
      <c r="F13" s="13">
        <f>F26+G26</f>
        <v/>
      </c>
      <c r="G13" s="14" t="n"/>
      <c r="N13" s="15" t="n"/>
      <c r="O13" s="23" t="n"/>
      <c r="Q13" s="1" t="n"/>
      <c r="R13" s="1" t="n"/>
    </row>
    <row r="14" ht="17" customHeight="1" thickBot="1">
      <c r="E14" s="12" t="inlineStr">
        <is>
          <t>лес</t>
        </is>
      </c>
      <c r="F14" s="13">
        <f>2.1*F13</f>
        <v/>
      </c>
      <c r="G14" s="14" t="n"/>
      <c r="M14" s="4" t="inlineStr">
        <is>
          <t>43х93х3,02</t>
        </is>
      </c>
      <c r="N14" s="4" t="inlineStr">
        <is>
          <t>Турция Б</t>
        </is>
      </c>
      <c r="O14" s="4" t="inlineStr">
        <is>
          <t>Турция А</t>
        </is>
      </c>
      <c r="P14" s="4" t="inlineStr">
        <is>
          <t>Турция Малые</t>
        </is>
      </c>
      <c r="Q14" s="1" t="n"/>
      <c r="R14" s="1" t="n"/>
    </row>
    <row r="15" ht="17" customHeight="1" thickBot="1">
      <c r="E15" s="16" t="n"/>
      <c r="F15" s="17" t="n"/>
      <c r="G15" s="18" t="n"/>
      <c r="M15" s="4" t="inlineStr">
        <is>
          <t>Кол-во пак.</t>
        </is>
      </c>
      <c r="N15" s="7" t="n"/>
      <c r="O15" s="7" t="n"/>
      <c r="P15" s="7" t="n"/>
      <c r="Q15" s="1" t="n"/>
      <c r="R15" s="1" t="n"/>
    </row>
    <row r="16" ht="17" customHeight="1" thickBot="1">
      <c r="E16" s="19" t="n"/>
      <c r="F16" s="19" t="n"/>
      <c r="G16" s="19" t="n"/>
      <c r="I16" t="inlineStr">
        <is>
          <t> </t>
        </is>
      </c>
      <c r="M16" s="4" t="inlineStr">
        <is>
          <t>Куб.м.</t>
        </is>
      </c>
      <c r="N16" s="7">
        <f>N15*2.17</f>
        <v/>
      </c>
      <c r="O16" s="7" t="n"/>
      <c r="P16" s="7">
        <f>P15*1.3</f>
        <v/>
      </c>
      <c r="Q16" s="1" t="n"/>
      <c r="R16" s="1" t="n"/>
    </row>
    <row r="17" ht="17" customHeight="1" thickBot="1">
      <c r="F17" s="20" t="inlineStr">
        <is>
          <t>Склад, кол-во пачек</t>
        </is>
      </c>
      <c r="G17" s="26" t="n"/>
      <c r="H17" s="25" t="n"/>
      <c r="M17" s="4" t="inlineStr">
        <is>
          <t>Отбр. Пак.</t>
        </is>
      </c>
      <c r="N17" s="7" t="n"/>
      <c r="O17" s="7" t="n"/>
      <c r="Q17" s="1" t="n"/>
      <c r="R17" s="1" t="n"/>
    </row>
    <row r="18" ht="17" customHeight="1" thickBot="1">
      <c r="F18" s="21" t="inlineStr">
        <is>
          <t>Экспорт</t>
        </is>
      </c>
      <c r="G18" s="21" t="inlineStr">
        <is>
          <t>Кавказ</t>
        </is>
      </c>
      <c r="H18" s="21" t="inlineStr">
        <is>
          <t>Отбраковка</t>
        </is>
      </c>
      <c r="M18" s="4" t="inlineStr">
        <is>
          <t>Отбр. Куб.</t>
        </is>
      </c>
      <c r="N18" s="7">
        <f>N17*2.203</f>
        <v/>
      </c>
      <c r="O18" s="7" t="n"/>
      <c r="Q18" s="1" t="n"/>
      <c r="R18" s="1" t="n"/>
    </row>
    <row r="19" ht="17" customHeight="1" thickBot="1">
      <c r="F19" s="22" t="n">
        <v>0</v>
      </c>
      <c r="G19" s="22" t="n">
        <v>0</v>
      </c>
      <c r="H19" s="22" t="n">
        <v>0</v>
      </c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6">
      <c r="F26" t="n">
        <v>0</v>
      </c>
      <c r="G26" t="n">
        <v>0</v>
      </c>
    </row>
  </sheetData>
  <mergeCells count="6">
    <mergeCell ref="F17:H17"/>
    <mergeCell ref="N5:O5"/>
    <mergeCell ref="J8:K8"/>
    <mergeCell ref="G3:I4"/>
    <mergeCell ref="N13:O13"/>
    <mergeCell ref="J9:K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10" defaultRowHeight="16"/>
  <sheetData>
    <row r="1">
      <c r="Q1" s="1" t="n"/>
      <c r="R1" s="1" t="n"/>
    </row>
    <row r="2">
      <c r="Q2" s="1" t="n"/>
      <c r="R2" s="1" t="n"/>
    </row>
    <row r="3">
      <c r="G3" s="2" t="inlineStr">
        <is>
          <t>Отчёт: 06.03.2026</t>
        </is>
      </c>
      <c r="O3" t="inlineStr">
        <is>
          <t> </t>
        </is>
      </c>
      <c r="Q3" s="1" t="n"/>
      <c r="R3" s="1" t="n"/>
    </row>
    <row r="4">
      <c r="Q4" s="1" t="n"/>
      <c r="R4" s="1" t="n"/>
    </row>
    <row r="5" ht="17" customHeight="1" thickBot="1">
      <c r="N5" s="3" t="inlineStr">
        <is>
          <t>12/27</t>
        </is>
      </c>
      <c r="O5" s="23" t="n"/>
      <c r="Q5" s="1" t="n"/>
      <c r="R5" s="1" t="n"/>
    </row>
    <row r="6" ht="17" customHeight="1" thickBot="1">
      <c r="E6" s="4" t="n"/>
      <c r="F6" s="4" t="inlineStr">
        <is>
          <t>Б</t>
        </is>
      </c>
      <c r="G6" s="4" t="inlineStr">
        <is>
          <t>А</t>
        </is>
      </c>
      <c r="I6" s="4" t="n"/>
      <c r="J6" s="4" t="inlineStr">
        <is>
          <t>Эксп Китай</t>
        </is>
      </c>
      <c r="K6" s="4" t="inlineStr">
        <is>
          <t>Эксп Турция</t>
        </is>
      </c>
      <c r="M6" s="4" t="inlineStr">
        <is>
          <t>37х87х2,95</t>
        </is>
      </c>
      <c r="N6" s="4" t="inlineStr">
        <is>
          <t>Китай Б</t>
        </is>
      </c>
      <c r="O6" s="4" t="inlineStr">
        <is>
          <t>Китай А</t>
        </is>
      </c>
      <c r="P6" s="4" t="inlineStr">
        <is>
          <t>Китай Малые</t>
        </is>
      </c>
      <c r="Q6" s="1" t="n"/>
      <c r="R6" s="1" t="n"/>
    </row>
    <row r="7" ht="17" customHeight="1" thickBot="1">
      <c r="E7" s="5" t="inlineStr">
        <is>
          <t>Куб. м.</t>
        </is>
      </c>
      <c r="F7" s="6">
        <f>N8+N10+N16+N18+P15</f>
        <v/>
      </c>
      <c r="G7" s="6">
        <f>O8+P8+O10</f>
        <v/>
      </c>
      <c r="I7" s="5" t="inlineStr">
        <is>
          <t>Куб. м.</t>
        </is>
      </c>
      <c r="J7" s="6">
        <f>N8+P8+O8</f>
        <v/>
      </c>
      <c r="K7" s="6">
        <f>N16+O16+P16</f>
        <v/>
      </c>
      <c r="M7" s="5" t="inlineStr">
        <is>
          <t>Кол-во пак.</t>
        </is>
      </c>
      <c r="N7" s="6" t="n">
        <v>0</v>
      </c>
      <c r="O7" s="7" t="n">
        <v>0</v>
      </c>
      <c r="P7" s="6" t="n">
        <v>0</v>
      </c>
      <c r="Q7" s="1" t="n"/>
      <c r="R7" s="1" t="n"/>
    </row>
    <row r="8" ht="17" customHeight="1" thickBot="1">
      <c r="E8" s="5" t="inlineStr">
        <is>
          <t>Лес.</t>
        </is>
      </c>
      <c r="F8" s="6">
        <f>F7*2.7</f>
        <v/>
      </c>
      <c r="G8" s="6">
        <f>G7*2.1</f>
        <v/>
      </c>
      <c r="I8" s="5" t="inlineStr">
        <is>
          <t>Отбр.</t>
        </is>
      </c>
      <c r="J8" s="24">
        <f>N10+N18+O10</f>
        <v/>
      </c>
      <c r="K8" s="25" t="n"/>
      <c r="M8" s="5" t="inlineStr">
        <is>
          <t>Куб. м.</t>
        </is>
      </c>
      <c r="N8" s="7">
        <f>N7*3.08</f>
        <v/>
      </c>
      <c r="O8" s="7">
        <f>O7*3.08</f>
        <v/>
      </c>
      <c r="P8" s="7">
        <f>P7*1.14</f>
        <v/>
      </c>
      <c r="Q8" s="1" t="n"/>
      <c r="R8" s="1" t="n">
        <v>0</v>
      </c>
    </row>
    <row r="9" ht="17" customHeight="1" thickBot="1">
      <c r="G9" s="10" t="n"/>
      <c r="I9" s="5" t="inlineStr">
        <is>
          <t>Щепа</t>
        </is>
      </c>
      <c r="J9" s="24">
        <f>F8*23%</f>
        <v/>
      </c>
      <c r="K9" s="25" t="n"/>
      <c r="M9" s="5" t="inlineStr">
        <is>
          <t>Отбр. Пак.</t>
        </is>
      </c>
      <c r="N9" s="6" t="n">
        <v>0</v>
      </c>
      <c r="O9" s="7" t="n">
        <v>0</v>
      </c>
      <c r="Q9" s="1" t="n"/>
      <c r="R9" s="1" t="n"/>
    </row>
    <row r="10" ht="17" customHeight="1" thickBot="1">
      <c r="M10" s="5" t="inlineStr">
        <is>
          <t>Отбр. Куб.</t>
        </is>
      </c>
      <c r="N10" s="7">
        <f>3*N9</f>
        <v/>
      </c>
      <c r="O10" s="7">
        <f>3*O9</f>
        <v/>
      </c>
      <c r="Q10" s="1" t="n"/>
      <c r="R10" s="1" t="n"/>
    </row>
    <row r="11" ht="17" customHeight="1" thickBot="1">
      <c r="Q11" s="1" t="n"/>
      <c r="R11" s="1" t="n"/>
    </row>
    <row r="12" ht="17" customHeight="1" thickBot="1">
      <c r="E12" s="11" t="n"/>
      <c r="F12" s="11" t="inlineStr">
        <is>
          <t>Акула</t>
        </is>
      </c>
      <c r="Q12" s="1" t="n"/>
      <c r="R12" s="1" t="n"/>
    </row>
    <row r="13" ht="17" customHeight="1" thickBot="1">
      <c r="E13" s="12" t="inlineStr">
        <is>
          <t>куб.м.</t>
        </is>
      </c>
      <c r="F13" s="13">
        <f>F26+G26</f>
        <v/>
      </c>
      <c r="G13" s="14" t="n"/>
      <c r="N13" s="15" t="n"/>
      <c r="O13" s="23" t="n"/>
      <c r="Q13" s="1" t="n"/>
      <c r="R13" s="1" t="n"/>
    </row>
    <row r="14" ht="17" customHeight="1" thickBot="1">
      <c r="E14" s="12" t="inlineStr">
        <is>
          <t>лес</t>
        </is>
      </c>
      <c r="F14" s="13">
        <f>2.1*F13</f>
        <v/>
      </c>
      <c r="G14" s="14" t="n"/>
      <c r="M14" s="4" t="inlineStr">
        <is>
          <t>43х93х3,02</t>
        </is>
      </c>
      <c r="N14" s="4" t="inlineStr">
        <is>
          <t>Турция Б</t>
        </is>
      </c>
      <c r="O14" s="4" t="inlineStr">
        <is>
          <t>Турция А</t>
        </is>
      </c>
      <c r="P14" s="4" t="inlineStr">
        <is>
          <t>Турция Малые</t>
        </is>
      </c>
      <c r="Q14" s="1" t="n"/>
      <c r="R14" s="1" t="n"/>
    </row>
    <row r="15" ht="17" customHeight="1" thickBot="1">
      <c r="E15" s="16" t="n"/>
      <c r="F15" s="17" t="n"/>
      <c r="G15" s="18" t="n"/>
      <c r="M15" s="4" t="inlineStr">
        <is>
          <t>Кол-во пак.</t>
        </is>
      </c>
      <c r="N15" s="7" t="n"/>
      <c r="O15" s="7" t="n"/>
      <c r="P15" s="7" t="n"/>
      <c r="Q15" s="1" t="n"/>
      <c r="R15" s="1" t="n"/>
    </row>
    <row r="16" ht="17" customHeight="1" thickBot="1">
      <c r="E16" s="19" t="n"/>
      <c r="F16" s="19" t="n"/>
      <c r="G16" s="19" t="n"/>
      <c r="I16" t="inlineStr">
        <is>
          <t> </t>
        </is>
      </c>
      <c r="M16" s="4" t="inlineStr">
        <is>
          <t>Куб.м.</t>
        </is>
      </c>
      <c r="N16" s="7">
        <f>N15*2.17</f>
        <v/>
      </c>
      <c r="O16" s="7" t="n"/>
      <c r="P16" s="7">
        <f>P15*1.3</f>
        <v/>
      </c>
      <c r="Q16" s="1" t="n"/>
      <c r="R16" s="1" t="n"/>
    </row>
    <row r="17" ht="17" customHeight="1" thickBot="1">
      <c r="F17" s="20" t="inlineStr">
        <is>
          <t>Склад, кол-во пачек</t>
        </is>
      </c>
      <c r="G17" s="26" t="n"/>
      <c r="H17" s="25" t="n"/>
      <c r="M17" s="4" t="inlineStr">
        <is>
          <t>Отбр. Пак.</t>
        </is>
      </c>
      <c r="N17" s="7" t="n"/>
      <c r="O17" s="7" t="n"/>
      <c r="Q17" s="1" t="n"/>
      <c r="R17" s="1" t="n"/>
    </row>
    <row r="18" ht="17" customHeight="1" thickBot="1">
      <c r="F18" s="21" t="inlineStr">
        <is>
          <t>Экспорт</t>
        </is>
      </c>
      <c r="G18" s="21" t="inlineStr">
        <is>
          <t>Кавказ</t>
        </is>
      </c>
      <c r="H18" s="21" t="inlineStr">
        <is>
          <t>Отбраковка</t>
        </is>
      </c>
      <c r="M18" s="4" t="inlineStr">
        <is>
          <t>Отбр. Куб.</t>
        </is>
      </c>
      <c r="N18" s="7">
        <f>N17*2.203</f>
        <v/>
      </c>
      <c r="O18" s="7" t="n"/>
      <c r="Q18" s="1" t="n"/>
      <c r="R18" s="1" t="n"/>
    </row>
    <row r="19" ht="17" customHeight="1" thickBot="1">
      <c r="F19" s="22" t="n">
        <v>0</v>
      </c>
      <c r="G19" s="22" t="n">
        <v>0</v>
      </c>
      <c r="H19" s="22" t="n">
        <v>0</v>
      </c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6">
      <c r="F26" t="n">
        <v>0</v>
      </c>
      <c r="G26" t="n">
        <v>0</v>
      </c>
    </row>
  </sheetData>
  <mergeCells count="6">
    <mergeCell ref="F17:H17"/>
    <mergeCell ref="N5:O5"/>
    <mergeCell ref="J8:K8"/>
    <mergeCell ref="G3:I4"/>
    <mergeCell ref="N13:O13"/>
    <mergeCell ref="J9:K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10" defaultRowHeight="16"/>
  <sheetData>
    <row r="1">
      <c r="Q1" s="1" t="n"/>
      <c r="R1" s="1" t="n"/>
    </row>
    <row r="2">
      <c r="Q2" s="1" t="n"/>
      <c r="R2" s="1" t="n"/>
    </row>
    <row r="3">
      <c r="G3" s="2" t="inlineStr">
        <is>
          <t>Отчёт: 07.03.2026</t>
        </is>
      </c>
      <c r="O3" t="inlineStr">
        <is>
          <t> </t>
        </is>
      </c>
      <c r="Q3" s="1" t="n"/>
      <c r="R3" s="1" t="n"/>
    </row>
    <row r="4">
      <c r="Q4" s="1" t="n"/>
      <c r="R4" s="1" t="n"/>
    </row>
    <row r="5" ht="17" customHeight="1" thickBot="1">
      <c r="N5" s="3" t="inlineStr">
        <is>
          <t>12/27</t>
        </is>
      </c>
      <c r="O5" s="23" t="n"/>
      <c r="Q5" s="1" t="n"/>
      <c r="R5" s="1" t="n"/>
    </row>
    <row r="6" ht="17" customHeight="1" thickBot="1">
      <c r="E6" s="4" t="n"/>
      <c r="F6" s="4" t="inlineStr">
        <is>
          <t>Б</t>
        </is>
      </c>
      <c r="G6" s="4" t="inlineStr">
        <is>
          <t>А</t>
        </is>
      </c>
      <c r="I6" s="4" t="n"/>
      <c r="J6" s="4" t="inlineStr">
        <is>
          <t>Эксп Китай</t>
        </is>
      </c>
      <c r="K6" s="4" t="inlineStr">
        <is>
          <t>Эксп Турция</t>
        </is>
      </c>
      <c r="M6" s="4" t="inlineStr">
        <is>
          <t>37х87х2,95</t>
        </is>
      </c>
      <c r="N6" s="4" t="inlineStr">
        <is>
          <t>Китай Б</t>
        </is>
      </c>
      <c r="O6" s="4" t="inlineStr">
        <is>
          <t>Китай А</t>
        </is>
      </c>
      <c r="P6" s="4" t="inlineStr">
        <is>
          <t>Китай Малые</t>
        </is>
      </c>
      <c r="Q6" s="1" t="n"/>
      <c r="R6" s="1" t="n"/>
    </row>
    <row r="7" ht="17" customHeight="1" thickBot="1">
      <c r="E7" s="5" t="inlineStr">
        <is>
          <t>Куб. м.</t>
        </is>
      </c>
      <c r="F7" s="6">
        <f>N8+N10+N16+N18+P15</f>
        <v/>
      </c>
      <c r="G7" s="6">
        <f>O8+P8+O10</f>
        <v/>
      </c>
      <c r="I7" s="5" t="inlineStr">
        <is>
          <t>Куб. м.</t>
        </is>
      </c>
      <c r="J7" s="6">
        <f>N8+P8+O8</f>
        <v/>
      </c>
      <c r="K7" s="6">
        <f>N16+O16+P16</f>
        <v/>
      </c>
      <c r="M7" s="5" t="inlineStr">
        <is>
          <t>Кол-во пак.</t>
        </is>
      </c>
      <c r="N7" s="6" t="n">
        <v>0</v>
      </c>
      <c r="O7" s="7" t="n">
        <v>0</v>
      </c>
      <c r="P7" s="6" t="n">
        <v>0</v>
      </c>
      <c r="Q7" s="1" t="n"/>
      <c r="R7" s="1" t="n"/>
    </row>
    <row r="8" ht="17" customHeight="1" thickBot="1">
      <c r="E8" s="5" t="inlineStr">
        <is>
          <t>Лес.</t>
        </is>
      </c>
      <c r="F8" s="6">
        <f>F7*2.7</f>
        <v/>
      </c>
      <c r="G8" s="6">
        <f>G7*2.1</f>
        <v/>
      </c>
      <c r="I8" s="5" t="inlineStr">
        <is>
          <t>Отбр.</t>
        </is>
      </c>
      <c r="J8" s="24">
        <f>N10+N18+O10</f>
        <v/>
      </c>
      <c r="K8" s="25" t="n"/>
      <c r="M8" s="5" t="inlineStr">
        <is>
          <t>Куб. м.</t>
        </is>
      </c>
      <c r="N8" s="7">
        <f>N7*3.08</f>
        <v/>
      </c>
      <c r="O8" s="7">
        <f>O7*3.08</f>
        <v/>
      </c>
      <c r="P8" s="7">
        <f>P7*1.14</f>
        <v/>
      </c>
      <c r="Q8" s="1" t="n"/>
      <c r="R8" s="1" t="n">
        <v>0</v>
      </c>
    </row>
    <row r="9" ht="17" customHeight="1" thickBot="1">
      <c r="G9" s="10" t="n"/>
      <c r="I9" s="5" t="inlineStr">
        <is>
          <t>Щепа</t>
        </is>
      </c>
      <c r="J9" s="24">
        <f>F8*23%</f>
        <v/>
      </c>
      <c r="K9" s="25" t="n"/>
      <c r="M9" s="5" t="inlineStr">
        <is>
          <t>Отбр. Пак.</t>
        </is>
      </c>
      <c r="N9" s="6" t="n">
        <v>0</v>
      </c>
      <c r="O9" s="7" t="n">
        <v>0</v>
      </c>
      <c r="Q9" s="1" t="n"/>
      <c r="R9" s="1" t="n"/>
    </row>
    <row r="10" ht="17" customHeight="1" thickBot="1">
      <c r="M10" s="5" t="inlineStr">
        <is>
          <t>Отбр. Куб.</t>
        </is>
      </c>
      <c r="N10" s="7">
        <f>3*N9</f>
        <v/>
      </c>
      <c r="O10" s="7">
        <f>3*O9</f>
        <v/>
      </c>
      <c r="Q10" s="1" t="n"/>
      <c r="R10" s="1" t="n"/>
    </row>
    <row r="11" ht="17" customHeight="1" thickBot="1">
      <c r="Q11" s="1" t="n"/>
      <c r="R11" s="1" t="n"/>
    </row>
    <row r="12" ht="17" customHeight="1" thickBot="1">
      <c r="E12" s="11" t="n"/>
      <c r="F12" s="11" t="inlineStr">
        <is>
          <t>Акула</t>
        </is>
      </c>
      <c r="Q12" s="1" t="n"/>
      <c r="R12" s="1" t="n"/>
    </row>
    <row r="13" ht="17" customHeight="1" thickBot="1">
      <c r="E13" s="12" t="inlineStr">
        <is>
          <t>куб.м.</t>
        </is>
      </c>
      <c r="F13" s="13">
        <f>F26+G26</f>
        <v/>
      </c>
      <c r="G13" s="14" t="n"/>
      <c r="N13" s="15" t="n"/>
      <c r="O13" s="23" t="n"/>
      <c r="Q13" s="1" t="n"/>
      <c r="R13" s="1" t="n"/>
    </row>
    <row r="14" ht="17" customHeight="1" thickBot="1">
      <c r="E14" s="12" t="inlineStr">
        <is>
          <t>лес</t>
        </is>
      </c>
      <c r="F14" s="13">
        <f>2.1*F13</f>
        <v/>
      </c>
      <c r="G14" s="14" t="n"/>
      <c r="M14" s="4" t="inlineStr">
        <is>
          <t>43х93х3,02</t>
        </is>
      </c>
      <c r="N14" s="4" t="inlineStr">
        <is>
          <t>Турция Б</t>
        </is>
      </c>
      <c r="O14" s="4" t="inlineStr">
        <is>
          <t>Турция А</t>
        </is>
      </c>
      <c r="P14" s="4" t="inlineStr">
        <is>
          <t>Турция Малые</t>
        </is>
      </c>
      <c r="Q14" s="1" t="n"/>
      <c r="R14" s="1" t="n"/>
    </row>
    <row r="15" ht="17" customHeight="1" thickBot="1">
      <c r="E15" s="16" t="n"/>
      <c r="F15" s="17" t="n"/>
      <c r="G15" s="18" t="n"/>
      <c r="M15" s="4" t="inlineStr">
        <is>
          <t>Кол-во пак.</t>
        </is>
      </c>
      <c r="N15" s="7" t="n"/>
      <c r="O15" s="7" t="n"/>
      <c r="P15" s="7" t="n"/>
      <c r="Q15" s="1" t="n"/>
      <c r="R15" s="1" t="n"/>
    </row>
    <row r="16" ht="17" customHeight="1" thickBot="1">
      <c r="E16" s="19" t="n"/>
      <c r="F16" s="19" t="n"/>
      <c r="G16" s="19" t="n"/>
      <c r="I16" t="inlineStr">
        <is>
          <t> </t>
        </is>
      </c>
      <c r="M16" s="4" t="inlineStr">
        <is>
          <t>Куб.м.</t>
        </is>
      </c>
      <c r="N16" s="7">
        <f>N15*2.17</f>
        <v/>
      </c>
      <c r="O16" s="7" t="n"/>
      <c r="P16" s="7">
        <f>P15*1.3</f>
        <v/>
      </c>
      <c r="Q16" s="1" t="n"/>
      <c r="R16" s="1" t="n"/>
    </row>
    <row r="17" ht="17" customHeight="1" thickBot="1">
      <c r="F17" s="20" t="inlineStr">
        <is>
          <t>Склад, кол-во пачек</t>
        </is>
      </c>
      <c r="G17" s="26" t="n"/>
      <c r="H17" s="25" t="n"/>
      <c r="M17" s="4" t="inlineStr">
        <is>
          <t>Отбр. Пак.</t>
        </is>
      </c>
      <c r="N17" s="7" t="n"/>
      <c r="O17" s="7" t="n"/>
      <c r="Q17" s="1" t="n"/>
      <c r="R17" s="1" t="n"/>
    </row>
    <row r="18" ht="17" customHeight="1" thickBot="1">
      <c r="F18" s="21" t="inlineStr">
        <is>
          <t>Экспорт</t>
        </is>
      </c>
      <c r="G18" s="21" t="inlineStr">
        <is>
          <t>Кавказ</t>
        </is>
      </c>
      <c r="H18" s="21" t="inlineStr">
        <is>
          <t>Отбраковка</t>
        </is>
      </c>
      <c r="M18" s="4" t="inlineStr">
        <is>
          <t>Отбр. Куб.</t>
        </is>
      </c>
      <c r="N18" s="7">
        <f>N17*2.203</f>
        <v/>
      </c>
      <c r="O18" s="7" t="n"/>
      <c r="Q18" s="1" t="n"/>
      <c r="R18" s="1" t="n"/>
    </row>
    <row r="19" ht="17" customHeight="1" thickBot="1">
      <c r="F19" s="22" t="n">
        <v>0</v>
      </c>
      <c r="G19" s="22" t="n">
        <v>0</v>
      </c>
      <c r="H19" s="22" t="n">
        <v>0</v>
      </c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6">
      <c r="F26" t="n">
        <v>0</v>
      </c>
      <c r="G26" t="n">
        <v>0</v>
      </c>
    </row>
  </sheetData>
  <mergeCells count="6">
    <mergeCell ref="F17:H17"/>
    <mergeCell ref="N5:O5"/>
    <mergeCell ref="J8:K8"/>
    <mergeCell ref="G3:I4"/>
    <mergeCell ref="N13:O13"/>
    <mergeCell ref="J9:K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10" defaultRowHeight="16"/>
  <sheetData>
    <row r="1">
      <c r="Q1" s="1" t="n"/>
      <c r="R1" s="1" t="n"/>
    </row>
    <row r="2">
      <c r="Q2" s="1" t="n"/>
      <c r="R2" s="1" t="n"/>
    </row>
    <row r="3">
      <c r="G3" s="2" t="inlineStr">
        <is>
          <t>Отчёт: 10.03.2026</t>
        </is>
      </c>
      <c r="O3" t="inlineStr">
        <is>
          <t> </t>
        </is>
      </c>
      <c r="Q3" s="1" t="n"/>
      <c r="R3" s="1" t="n"/>
    </row>
    <row r="4">
      <c r="Q4" s="1" t="n"/>
      <c r="R4" s="1" t="n"/>
    </row>
    <row r="5" ht="17" customHeight="1" thickBot="1">
      <c r="N5" s="3" t="inlineStr">
        <is>
          <t>12/27</t>
        </is>
      </c>
      <c r="O5" s="23" t="n"/>
      <c r="Q5" s="1" t="n"/>
      <c r="R5" s="1" t="n"/>
    </row>
    <row r="6" ht="17" customHeight="1" thickBot="1">
      <c r="E6" s="4" t="n"/>
      <c r="F6" s="4" t="inlineStr">
        <is>
          <t>Б</t>
        </is>
      </c>
      <c r="G6" s="4" t="inlineStr">
        <is>
          <t>А</t>
        </is>
      </c>
      <c r="I6" s="4" t="n"/>
      <c r="J6" s="4" t="inlineStr">
        <is>
          <t>Эксп Китай</t>
        </is>
      </c>
      <c r="K6" s="4" t="inlineStr">
        <is>
          <t>Эксп Турция</t>
        </is>
      </c>
      <c r="M6" s="4" t="inlineStr">
        <is>
          <t>37х87х2,95</t>
        </is>
      </c>
      <c r="N6" s="4" t="inlineStr">
        <is>
          <t>Китай Б</t>
        </is>
      </c>
      <c r="O6" s="4" t="inlineStr">
        <is>
          <t>Китай А</t>
        </is>
      </c>
      <c r="P6" s="4" t="inlineStr">
        <is>
          <t>Китай Малые</t>
        </is>
      </c>
      <c r="Q6" s="1" t="n"/>
      <c r="R6" s="1" t="n"/>
    </row>
    <row r="7" ht="17" customHeight="1" thickBot="1">
      <c r="E7" s="5" t="inlineStr">
        <is>
          <t>Куб. м.</t>
        </is>
      </c>
      <c r="F7" s="6">
        <f>N8+N10+N16+N18+P15</f>
        <v/>
      </c>
      <c r="G7" s="6">
        <f>O8+P8+O10</f>
        <v/>
      </c>
      <c r="I7" s="5" t="inlineStr">
        <is>
          <t>Куб. м.</t>
        </is>
      </c>
      <c r="J7" s="6">
        <f>N8+P8+O8</f>
        <v/>
      </c>
      <c r="K7" s="6">
        <f>N16+O16+P16</f>
        <v/>
      </c>
      <c r="M7" s="5" t="inlineStr">
        <is>
          <t>Кол-во пак.</t>
        </is>
      </c>
      <c r="N7" s="6" t="n">
        <v>0</v>
      </c>
      <c r="O7" s="7" t="n">
        <v>0</v>
      </c>
      <c r="P7" s="6" t="n">
        <v>0</v>
      </c>
      <c r="Q7" s="1" t="n"/>
      <c r="R7" s="1" t="n"/>
    </row>
    <row r="8" ht="17" customHeight="1" thickBot="1">
      <c r="E8" s="5" t="inlineStr">
        <is>
          <t>Лес.</t>
        </is>
      </c>
      <c r="F8" s="6">
        <f>F7*2.7</f>
        <v/>
      </c>
      <c r="G8" s="6">
        <f>G7*2.1</f>
        <v/>
      </c>
      <c r="I8" s="5" t="inlineStr">
        <is>
          <t>Отбр.</t>
        </is>
      </c>
      <c r="J8" s="24">
        <f>N10+N18+O10</f>
        <v/>
      </c>
      <c r="K8" s="25" t="n"/>
      <c r="M8" s="5" t="inlineStr">
        <is>
          <t>Куб. м.</t>
        </is>
      </c>
      <c r="N8" s="7">
        <f>N7*3.08</f>
        <v/>
      </c>
      <c r="O8" s="7">
        <f>O7*3.08</f>
        <v/>
      </c>
      <c r="P8" s="7">
        <f>P7*1.14</f>
        <v/>
      </c>
      <c r="Q8" s="1" t="n"/>
      <c r="R8" s="1" t="n">
        <v>0</v>
      </c>
    </row>
    <row r="9" ht="17" customHeight="1" thickBot="1">
      <c r="G9" s="10" t="n"/>
      <c r="I9" s="5" t="inlineStr">
        <is>
          <t>Щепа</t>
        </is>
      </c>
      <c r="J9" s="24">
        <f>F8*23%</f>
        <v/>
      </c>
      <c r="K9" s="25" t="n"/>
      <c r="M9" s="5" t="inlineStr">
        <is>
          <t>Отбр. Пак.</t>
        </is>
      </c>
      <c r="N9" s="6" t="n">
        <v>0</v>
      </c>
      <c r="O9" s="7" t="n">
        <v>0</v>
      </c>
      <c r="Q9" s="1" t="n"/>
      <c r="R9" s="1" t="n"/>
    </row>
    <row r="10" ht="17" customHeight="1" thickBot="1">
      <c r="M10" s="5" t="inlineStr">
        <is>
          <t>Отбр. Куб.</t>
        </is>
      </c>
      <c r="N10" s="7">
        <f>3*N9</f>
        <v/>
      </c>
      <c r="O10" s="7">
        <f>3*O9</f>
        <v/>
      </c>
      <c r="Q10" s="1" t="n"/>
      <c r="R10" s="1" t="n"/>
    </row>
    <row r="11" ht="17" customHeight="1" thickBot="1">
      <c r="Q11" s="1" t="n"/>
      <c r="R11" s="1" t="n"/>
    </row>
    <row r="12" ht="17" customHeight="1" thickBot="1">
      <c r="E12" s="11" t="n"/>
      <c r="F12" s="11" t="inlineStr">
        <is>
          <t>Акула</t>
        </is>
      </c>
      <c r="Q12" s="1" t="n"/>
      <c r="R12" s="1" t="n"/>
    </row>
    <row r="13" ht="17" customHeight="1" thickBot="1">
      <c r="E13" s="12" t="inlineStr">
        <is>
          <t>куб.м.</t>
        </is>
      </c>
      <c r="F13" s="13">
        <f>F26+G26</f>
        <v/>
      </c>
      <c r="G13" s="14" t="n"/>
      <c r="N13" s="15" t="n"/>
      <c r="O13" s="23" t="n"/>
      <c r="Q13" s="1" t="n"/>
      <c r="R13" s="1" t="n"/>
    </row>
    <row r="14" ht="17" customHeight="1" thickBot="1">
      <c r="E14" s="12" t="inlineStr">
        <is>
          <t>лес</t>
        </is>
      </c>
      <c r="F14" s="13">
        <f>2.1*F13</f>
        <v/>
      </c>
      <c r="G14" s="14" t="n"/>
      <c r="M14" s="4" t="inlineStr">
        <is>
          <t>43х93х3,02</t>
        </is>
      </c>
      <c r="N14" s="4" t="inlineStr">
        <is>
          <t>Турция Б</t>
        </is>
      </c>
      <c r="O14" s="4" t="inlineStr">
        <is>
          <t>Турция А</t>
        </is>
      </c>
      <c r="P14" s="4" t="inlineStr">
        <is>
          <t>Турция Малые</t>
        </is>
      </c>
      <c r="Q14" s="1" t="n"/>
      <c r="R14" s="1" t="n"/>
    </row>
    <row r="15" ht="17" customHeight="1" thickBot="1">
      <c r="E15" s="16" t="n"/>
      <c r="F15" s="17" t="n"/>
      <c r="G15" s="18" t="n"/>
      <c r="M15" s="4" t="inlineStr">
        <is>
          <t>Кол-во пак.</t>
        </is>
      </c>
      <c r="N15" s="7" t="n"/>
      <c r="O15" s="7" t="n"/>
      <c r="P15" s="7" t="n"/>
      <c r="Q15" s="1" t="n"/>
      <c r="R15" s="1" t="n"/>
    </row>
    <row r="16" ht="17" customHeight="1" thickBot="1">
      <c r="E16" s="19" t="n"/>
      <c r="F16" s="19" t="n"/>
      <c r="G16" s="19" t="n"/>
      <c r="I16" t="inlineStr">
        <is>
          <t> </t>
        </is>
      </c>
      <c r="M16" s="4" t="inlineStr">
        <is>
          <t>Куб.м.</t>
        </is>
      </c>
      <c r="N16" s="7">
        <f>N15*2.17</f>
        <v/>
      </c>
      <c r="O16" s="7" t="n"/>
      <c r="P16" s="7">
        <f>P15*1.3</f>
        <v/>
      </c>
      <c r="Q16" s="1" t="n"/>
      <c r="R16" s="1" t="n"/>
    </row>
    <row r="17" ht="17" customHeight="1" thickBot="1">
      <c r="F17" s="20" t="inlineStr">
        <is>
          <t>Склад, кол-во пачек</t>
        </is>
      </c>
      <c r="G17" s="26" t="n"/>
      <c r="H17" s="25" t="n"/>
      <c r="M17" s="4" t="inlineStr">
        <is>
          <t>Отбр. Пак.</t>
        </is>
      </c>
      <c r="N17" s="7" t="n"/>
      <c r="O17" s="7" t="n"/>
      <c r="Q17" s="1" t="n"/>
      <c r="R17" s="1" t="n"/>
    </row>
    <row r="18" ht="17" customHeight="1" thickBot="1">
      <c r="F18" s="21" t="inlineStr">
        <is>
          <t>Экспорт</t>
        </is>
      </c>
      <c r="G18" s="21" t="inlineStr">
        <is>
          <t>Кавказ</t>
        </is>
      </c>
      <c r="H18" s="21" t="inlineStr">
        <is>
          <t>Отбраковка</t>
        </is>
      </c>
      <c r="M18" s="4" t="inlineStr">
        <is>
          <t>Отбр. Куб.</t>
        </is>
      </c>
      <c r="N18" s="7">
        <f>N17*2.203</f>
        <v/>
      </c>
      <c r="O18" s="7" t="n"/>
      <c r="Q18" s="1" t="n"/>
      <c r="R18" s="1" t="n"/>
    </row>
    <row r="19" ht="17" customHeight="1" thickBot="1">
      <c r="F19" s="22" t="n">
        <v>0</v>
      </c>
      <c r="G19" s="22" t="n">
        <v>0</v>
      </c>
      <c r="H19" s="22" t="n">
        <v>0</v>
      </c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6">
      <c r="F26" t="n">
        <v>0</v>
      </c>
      <c r="G26" t="n">
        <v>0</v>
      </c>
    </row>
  </sheetData>
  <mergeCells count="6">
    <mergeCell ref="F17:H17"/>
    <mergeCell ref="N5:O5"/>
    <mergeCell ref="J8:K8"/>
    <mergeCell ref="G3:I4"/>
    <mergeCell ref="N13:O13"/>
    <mergeCell ref="J9:K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10" defaultRowHeight="16"/>
  <sheetData>
    <row r="1">
      <c r="Q1" s="1" t="n"/>
      <c r="R1" s="1" t="n"/>
    </row>
    <row r="2">
      <c r="Q2" s="1" t="n"/>
      <c r="R2" s="1" t="n"/>
    </row>
    <row r="3">
      <c r="G3" s="2" t="inlineStr">
        <is>
          <t>Отчёт: 11.03.2026</t>
        </is>
      </c>
      <c r="O3" t="inlineStr">
        <is>
          <t> </t>
        </is>
      </c>
      <c r="Q3" s="1" t="n"/>
      <c r="R3" s="1" t="n"/>
    </row>
    <row r="4">
      <c r="Q4" s="1" t="n"/>
      <c r="R4" s="1" t="n"/>
    </row>
    <row r="5" ht="17" customHeight="1" thickBot="1">
      <c r="N5" s="3" t="inlineStr">
        <is>
          <t>12/27</t>
        </is>
      </c>
      <c r="O5" s="23" t="n"/>
      <c r="Q5" s="1" t="n"/>
      <c r="R5" s="1" t="n"/>
    </row>
    <row r="6" ht="17" customHeight="1" thickBot="1">
      <c r="E6" s="4" t="n"/>
      <c r="F6" s="4" t="inlineStr">
        <is>
          <t>Б</t>
        </is>
      </c>
      <c r="G6" s="4" t="inlineStr">
        <is>
          <t>А</t>
        </is>
      </c>
      <c r="I6" s="4" t="n"/>
      <c r="J6" s="4" t="inlineStr">
        <is>
          <t>Эксп Китай</t>
        </is>
      </c>
      <c r="K6" s="4" t="inlineStr">
        <is>
          <t>Эксп Турция</t>
        </is>
      </c>
      <c r="M6" s="4" t="inlineStr">
        <is>
          <t>37х87х2,95</t>
        </is>
      </c>
      <c r="N6" s="4" t="inlineStr">
        <is>
          <t>Китай Б</t>
        </is>
      </c>
      <c r="O6" s="4" t="inlineStr">
        <is>
          <t>Китай А</t>
        </is>
      </c>
      <c r="P6" s="4" t="inlineStr">
        <is>
          <t>Китай Малые</t>
        </is>
      </c>
      <c r="Q6" s="1" t="n"/>
      <c r="R6" s="1" t="n"/>
    </row>
    <row r="7" ht="17" customHeight="1" thickBot="1">
      <c r="E7" s="5" t="inlineStr">
        <is>
          <t>Куб. м.</t>
        </is>
      </c>
      <c r="F7" s="6">
        <f>N8+N10+N16+N18+P15</f>
        <v/>
      </c>
      <c r="G7" s="6">
        <f>O8+P8+O10</f>
        <v/>
      </c>
      <c r="I7" s="5" t="inlineStr">
        <is>
          <t>Куб. м.</t>
        </is>
      </c>
      <c r="J7" s="6">
        <f>N8+P8+O8</f>
        <v/>
      </c>
      <c r="K7" s="6">
        <f>N16+O16+P16</f>
        <v/>
      </c>
      <c r="M7" s="5" t="inlineStr">
        <is>
          <t>Кол-во пак.</t>
        </is>
      </c>
      <c r="N7" s="6" t="n">
        <v>0</v>
      </c>
      <c r="O7" s="7" t="n">
        <v>0</v>
      </c>
      <c r="P7" s="6" t="n">
        <v>0</v>
      </c>
      <c r="Q7" s="1" t="n"/>
      <c r="R7" s="1" t="n"/>
    </row>
    <row r="8" ht="17" customHeight="1" thickBot="1">
      <c r="E8" s="5" t="inlineStr">
        <is>
          <t>Лес.</t>
        </is>
      </c>
      <c r="F8" s="6">
        <f>F7*2.7</f>
        <v/>
      </c>
      <c r="G8" s="6">
        <f>G7*2.1</f>
        <v/>
      </c>
      <c r="I8" s="5" t="inlineStr">
        <is>
          <t>Отбр.</t>
        </is>
      </c>
      <c r="J8" s="24">
        <f>N10+N18+O10</f>
        <v/>
      </c>
      <c r="K8" s="25" t="n"/>
      <c r="M8" s="5" t="inlineStr">
        <is>
          <t>Куб. м.</t>
        </is>
      </c>
      <c r="N8" s="7">
        <f>N7*3.08</f>
        <v/>
      </c>
      <c r="O8" s="7">
        <f>O7*3.08</f>
        <v/>
      </c>
      <c r="P8" s="7">
        <f>P7*1.14</f>
        <v/>
      </c>
      <c r="Q8" s="1" t="n"/>
      <c r="R8" s="1" t="n">
        <v>0</v>
      </c>
    </row>
    <row r="9" ht="17" customHeight="1" thickBot="1">
      <c r="G9" s="10" t="n"/>
      <c r="I9" s="5" t="inlineStr">
        <is>
          <t>Щепа</t>
        </is>
      </c>
      <c r="J9" s="24">
        <f>F8*23%</f>
        <v/>
      </c>
      <c r="K9" s="25" t="n"/>
      <c r="M9" s="5" t="inlineStr">
        <is>
          <t>Отбр. Пак.</t>
        </is>
      </c>
      <c r="N9" s="6" t="n">
        <v>0</v>
      </c>
      <c r="O9" s="7" t="n">
        <v>0</v>
      </c>
      <c r="Q9" s="1" t="n"/>
      <c r="R9" s="1" t="n"/>
    </row>
    <row r="10" ht="17" customHeight="1" thickBot="1">
      <c r="M10" s="5" t="inlineStr">
        <is>
          <t>Отбр. Куб.</t>
        </is>
      </c>
      <c r="N10" s="7">
        <f>3*N9</f>
        <v/>
      </c>
      <c r="O10" s="7">
        <f>3*O9</f>
        <v/>
      </c>
      <c r="Q10" s="1" t="n"/>
      <c r="R10" s="1" t="n"/>
    </row>
    <row r="11" ht="17" customHeight="1" thickBot="1">
      <c r="Q11" s="1" t="n"/>
      <c r="R11" s="1" t="n"/>
    </row>
    <row r="12" ht="17" customHeight="1" thickBot="1">
      <c r="E12" s="11" t="n"/>
      <c r="F12" s="11" t="inlineStr">
        <is>
          <t>Акула</t>
        </is>
      </c>
      <c r="Q12" s="1" t="n"/>
      <c r="R12" s="1" t="n"/>
    </row>
    <row r="13" ht="17" customHeight="1" thickBot="1">
      <c r="E13" s="12" t="inlineStr">
        <is>
          <t>куб.м.</t>
        </is>
      </c>
      <c r="F13" s="13">
        <f>F26+G26</f>
        <v/>
      </c>
      <c r="G13" s="14" t="n"/>
      <c r="N13" s="15" t="n"/>
      <c r="O13" s="23" t="n"/>
      <c r="Q13" s="1" t="n"/>
      <c r="R13" s="1" t="n"/>
    </row>
    <row r="14" ht="17" customHeight="1" thickBot="1">
      <c r="E14" s="12" t="inlineStr">
        <is>
          <t>лес</t>
        </is>
      </c>
      <c r="F14" s="13">
        <f>2.1*F13</f>
        <v/>
      </c>
      <c r="G14" s="14" t="n"/>
      <c r="M14" s="4" t="inlineStr">
        <is>
          <t>43х93х3,02</t>
        </is>
      </c>
      <c r="N14" s="4" t="inlineStr">
        <is>
          <t>Турция Б</t>
        </is>
      </c>
      <c r="O14" s="4" t="inlineStr">
        <is>
          <t>Турция А</t>
        </is>
      </c>
      <c r="P14" s="4" t="inlineStr">
        <is>
          <t>Турция Малые</t>
        </is>
      </c>
      <c r="Q14" s="1" t="n"/>
      <c r="R14" s="1" t="n"/>
    </row>
    <row r="15" ht="17" customHeight="1" thickBot="1">
      <c r="E15" s="16" t="n"/>
      <c r="F15" s="17" t="n"/>
      <c r="G15" s="18" t="n"/>
      <c r="M15" s="4" t="inlineStr">
        <is>
          <t>Кол-во пак.</t>
        </is>
      </c>
      <c r="N15" s="7" t="n"/>
      <c r="O15" s="7" t="n"/>
      <c r="P15" s="7" t="n"/>
      <c r="Q15" s="1" t="n"/>
      <c r="R15" s="1" t="n"/>
    </row>
    <row r="16" ht="17" customHeight="1" thickBot="1">
      <c r="E16" s="19" t="n"/>
      <c r="F16" s="19" t="n"/>
      <c r="G16" s="19" t="n"/>
      <c r="I16" t="inlineStr">
        <is>
          <t> </t>
        </is>
      </c>
      <c r="M16" s="4" t="inlineStr">
        <is>
          <t>Куб.м.</t>
        </is>
      </c>
      <c r="N16" s="7">
        <f>N15*2.17</f>
        <v/>
      </c>
      <c r="O16" s="7" t="n"/>
      <c r="P16" s="7">
        <f>P15*1.3</f>
        <v/>
      </c>
      <c r="Q16" s="1" t="n"/>
      <c r="R16" s="1" t="n"/>
    </row>
    <row r="17" ht="17" customHeight="1" thickBot="1">
      <c r="F17" s="20" t="inlineStr">
        <is>
          <t>Склад, кол-во пачек</t>
        </is>
      </c>
      <c r="G17" s="26" t="n"/>
      <c r="H17" s="25" t="n"/>
      <c r="M17" s="4" t="inlineStr">
        <is>
          <t>Отбр. Пак.</t>
        </is>
      </c>
      <c r="N17" s="7" t="n"/>
      <c r="O17" s="7" t="n"/>
      <c r="Q17" s="1" t="n"/>
      <c r="R17" s="1" t="n"/>
    </row>
    <row r="18" ht="17" customHeight="1" thickBot="1">
      <c r="F18" s="21" t="inlineStr">
        <is>
          <t>Экспорт</t>
        </is>
      </c>
      <c r="G18" s="21" t="inlineStr">
        <is>
          <t>Кавказ</t>
        </is>
      </c>
      <c r="H18" s="21" t="inlineStr">
        <is>
          <t>Отбраковка</t>
        </is>
      </c>
      <c r="M18" s="4" t="inlineStr">
        <is>
          <t>Отбр. Куб.</t>
        </is>
      </c>
      <c r="N18" s="7">
        <f>N17*2.203</f>
        <v/>
      </c>
      <c r="O18" s="7" t="n"/>
      <c r="Q18" s="1" t="n"/>
      <c r="R18" s="1" t="n"/>
    </row>
    <row r="19" ht="17" customHeight="1" thickBot="1">
      <c r="F19" s="22" t="n">
        <v>0</v>
      </c>
      <c r="G19" s="22" t="n">
        <v>0</v>
      </c>
      <c r="H19" s="22" t="n">
        <v>0</v>
      </c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6">
      <c r="F26" t="n">
        <v>0</v>
      </c>
      <c r="G26" t="n">
        <v>0</v>
      </c>
    </row>
  </sheetData>
  <mergeCells count="6">
    <mergeCell ref="F17:H17"/>
    <mergeCell ref="N5:O5"/>
    <mergeCell ref="J8:K8"/>
    <mergeCell ref="G3:I4"/>
    <mergeCell ref="N13:O13"/>
    <mergeCell ref="J9:K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10" defaultRowHeight="16"/>
  <sheetData>
    <row r="1">
      <c r="Q1" s="1" t="n"/>
      <c r="R1" s="1" t="n"/>
    </row>
    <row r="2">
      <c r="Q2" s="1" t="n"/>
      <c r="R2" s="1" t="n"/>
    </row>
    <row r="3">
      <c r="G3" s="2" t="inlineStr">
        <is>
          <t>Отчёт: 14.03.2026</t>
        </is>
      </c>
      <c r="O3" t="inlineStr">
        <is>
          <t> </t>
        </is>
      </c>
      <c r="Q3" s="1" t="n"/>
      <c r="R3" s="1" t="n"/>
    </row>
    <row r="4">
      <c r="Q4" s="1" t="n"/>
      <c r="R4" s="1" t="n"/>
    </row>
    <row r="5" ht="17" customHeight="1" thickBot="1">
      <c r="N5" s="3" t="inlineStr">
        <is>
          <t>12/27</t>
        </is>
      </c>
      <c r="O5" s="23" t="n"/>
      <c r="Q5" s="1" t="n"/>
      <c r="R5" s="1" t="n"/>
    </row>
    <row r="6" ht="17" customHeight="1" thickBot="1">
      <c r="E6" s="4" t="n"/>
      <c r="F6" s="4" t="inlineStr">
        <is>
          <t>Б</t>
        </is>
      </c>
      <c r="G6" s="4" t="inlineStr">
        <is>
          <t>А</t>
        </is>
      </c>
      <c r="I6" s="4" t="n"/>
      <c r="J6" s="4" t="inlineStr">
        <is>
          <t>Эксп Китай</t>
        </is>
      </c>
      <c r="K6" s="4" t="inlineStr">
        <is>
          <t>Эксп Турция</t>
        </is>
      </c>
      <c r="M6" s="4" t="inlineStr">
        <is>
          <t>37х87х2,95</t>
        </is>
      </c>
      <c r="N6" s="4" t="inlineStr">
        <is>
          <t>Китай Б</t>
        </is>
      </c>
      <c r="O6" s="4" t="inlineStr">
        <is>
          <t>Китай А</t>
        </is>
      </c>
      <c r="P6" s="4" t="inlineStr">
        <is>
          <t>Китай Малые</t>
        </is>
      </c>
      <c r="Q6" s="1" t="n"/>
      <c r="R6" s="1" t="n"/>
    </row>
    <row r="7" ht="17" customHeight="1" thickBot="1">
      <c r="E7" s="5" t="inlineStr">
        <is>
          <t>Куб. м.</t>
        </is>
      </c>
      <c r="F7" s="6">
        <f>N8+N10+N16+N18+P15</f>
        <v/>
      </c>
      <c r="G7" s="6">
        <f>O8+P8+O10</f>
        <v/>
      </c>
      <c r="I7" s="5" t="inlineStr">
        <is>
          <t>Куб. м.</t>
        </is>
      </c>
      <c r="J7" s="6">
        <f>N8+P8+O8</f>
        <v/>
      </c>
      <c r="K7" s="6">
        <f>N16+O16+P16</f>
        <v/>
      </c>
      <c r="M7" s="5" t="inlineStr">
        <is>
          <t>Кол-во пак.</t>
        </is>
      </c>
      <c r="N7" s="6" t="n">
        <v>0</v>
      </c>
      <c r="O7" s="7" t="n">
        <v>0</v>
      </c>
      <c r="P7" s="6" t="n">
        <v>0</v>
      </c>
      <c r="Q7" s="1" t="n"/>
      <c r="R7" s="1" t="n"/>
    </row>
    <row r="8" ht="17" customHeight="1" thickBot="1">
      <c r="E8" s="5" t="inlineStr">
        <is>
          <t>Лес.</t>
        </is>
      </c>
      <c r="F8" s="6">
        <f>F7*2.7</f>
        <v/>
      </c>
      <c r="G8" s="6">
        <f>G7*2.1</f>
        <v/>
      </c>
      <c r="I8" s="5" t="inlineStr">
        <is>
          <t>Отбр.</t>
        </is>
      </c>
      <c r="J8" s="24">
        <f>N10+N18+O10</f>
        <v/>
      </c>
      <c r="K8" s="25" t="n"/>
      <c r="M8" s="5" t="inlineStr">
        <is>
          <t>Куб. м.</t>
        </is>
      </c>
      <c r="N8" s="7">
        <f>N7*3.08</f>
        <v/>
      </c>
      <c r="O8" s="7">
        <f>O7*3.08</f>
        <v/>
      </c>
      <c r="P8" s="7">
        <f>P7*1.14</f>
        <v/>
      </c>
      <c r="Q8" s="1" t="n"/>
      <c r="R8" s="1" t="n">
        <v>0</v>
      </c>
    </row>
    <row r="9" ht="17" customHeight="1" thickBot="1">
      <c r="G9" s="10" t="n"/>
      <c r="I9" s="5" t="inlineStr">
        <is>
          <t>Щепа</t>
        </is>
      </c>
      <c r="J9" s="24">
        <f>F8*23%</f>
        <v/>
      </c>
      <c r="K9" s="25" t="n"/>
      <c r="M9" s="5" t="inlineStr">
        <is>
          <t>Отбр. Пак.</t>
        </is>
      </c>
      <c r="N9" s="6" t="n">
        <v>0</v>
      </c>
      <c r="O9" s="7" t="n">
        <v>0</v>
      </c>
      <c r="Q9" s="1" t="n"/>
      <c r="R9" s="1" t="n"/>
    </row>
    <row r="10" ht="17" customHeight="1" thickBot="1">
      <c r="M10" s="5" t="inlineStr">
        <is>
          <t>Отбр. Куб.</t>
        </is>
      </c>
      <c r="N10" s="7">
        <f>3*N9</f>
        <v/>
      </c>
      <c r="O10" s="7">
        <f>3*O9</f>
        <v/>
      </c>
      <c r="Q10" s="1" t="n"/>
      <c r="R10" s="1" t="n"/>
    </row>
    <row r="11" ht="17" customHeight="1" thickBot="1">
      <c r="Q11" s="1" t="n"/>
      <c r="R11" s="1" t="n"/>
    </row>
    <row r="12" ht="17" customHeight="1" thickBot="1">
      <c r="E12" s="11" t="n"/>
      <c r="F12" s="11" t="inlineStr">
        <is>
          <t>Акула</t>
        </is>
      </c>
      <c r="Q12" s="1" t="n"/>
      <c r="R12" s="1" t="n"/>
    </row>
    <row r="13" ht="17" customHeight="1" thickBot="1">
      <c r="E13" s="12" t="inlineStr">
        <is>
          <t>куб.м.</t>
        </is>
      </c>
      <c r="F13" s="13">
        <f>F26+G26</f>
        <v/>
      </c>
      <c r="G13" s="14" t="n"/>
      <c r="N13" s="15" t="n"/>
      <c r="O13" s="23" t="n"/>
      <c r="Q13" s="1" t="n"/>
      <c r="R13" s="1" t="n"/>
    </row>
    <row r="14" ht="17" customHeight="1" thickBot="1">
      <c r="E14" s="12" t="inlineStr">
        <is>
          <t>лес</t>
        </is>
      </c>
      <c r="F14" s="13">
        <f>2.1*F13</f>
        <v/>
      </c>
      <c r="G14" s="14" t="n"/>
      <c r="M14" s="4" t="inlineStr">
        <is>
          <t>43х93х3,02</t>
        </is>
      </c>
      <c r="N14" s="4" t="inlineStr">
        <is>
          <t>Турция Б</t>
        </is>
      </c>
      <c r="O14" s="4" t="inlineStr">
        <is>
          <t>Турция А</t>
        </is>
      </c>
      <c r="P14" s="4" t="inlineStr">
        <is>
          <t>Турция Малые</t>
        </is>
      </c>
      <c r="Q14" s="1" t="n"/>
      <c r="R14" s="1" t="n"/>
    </row>
    <row r="15" ht="17" customHeight="1" thickBot="1">
      <c r="E15" s="16" t="n"/>
      <c r="F15" s="17" t="n"/>
      <c r="G15" s="18" t="n"/>
      <c r="M15" s="4" t="inlineStr">
        <is>
          <t>Кол-во пак.</t>
        </is>
      </c>
      <c r="N15" s="7" t="n"/>
      <c r="O15" s="7" t="n"/>
      <c r="P15" s="7" t="n"/>
      <c r="Q15" s="1" t="n"/>
      <c r="R15" s="1" t="n"/>
    </row>
    <row r="16" ht="17" customHeight="1" thickBot="1">
      <c r="E16" s="19" t="n"/>
      <c r="F16" s="19" t="n"/>
      <c r="G16" s="19" t="n"/>
      <c r="I16" t="inlineStr">
        <is>
          <t> </t>
        </is>
      </c>
      <c r="M16" s="4" t="inlineStr">
        <is>
          <t>Куб.м.</t>
        </is>
      </c>
      <c r="N16" s="7">
        <f>N15*2.17</f>
        <v/>
      </c>
      <c r="O16" s="7" t="n"/>
      <c r="P16" s="7">
        <f>P15*1.3</f>
        <v/>
      </c>
      <c r="Q16" s="1" t="n"/>
      <c r="R16" s="1" t="n"/>
    </row>
    <row r="17" ht="17" customHeight="1" thickBot="1">
      <c r="F17" s="20" t="inlineStr">
        <is>
          <t>Склад, кол-во пачек</t>
        </is>
      </c>
      <c r="G17" s="26" t="n"/>
      <c r="H17" s="25" t="n"/>
      <c r="M17" s="4" t="inlineStr">
        <is>
          <t>Отбр. Пак.</t>
        </is>
      </c>
      <c r="N17" s="7" t="n"/>
      <c r="O17" s="7" t="n"/>
      <c r="Q17" s="1" t="n"/>
      <c r="R17" s="1" t="n"/>
    </row>
    <row r="18" ht="17" customHeight="1" thickBot="1">
      <c r="F18" s="21" t="inlineStr">
        <is>
          <t>Экспорт</t>
        </is>
      </c>
      <c r="G18" s="21" t="inlineStr">
        <is>
          <t>Кавказ</t>
        </is>
      </c>
      <c r="H18" s="21" t="inlineStr">
        <is>
          <t>Отбраковка</t>
        </is>
      </c>
      <c r="M18" s="4" t="inlineStr">
        <is>
          <t>Отбр. Куб.</t>
        </is>
      </c>
      <c r="N18" s="7">
        <f>N17*2.203</f>
        <v/>
      </c>
      <c r="O18" s="7" t="n"/>
      <c r="Q18" s="1" t="n"/>
      <c r="R18" s="1" t="n"/>
    </row>
    <row r="19" ht="17" customHeight="1" thickBot="1">
      <c r="F19" s="22" t="n">
        <v>0</v>
      </c>
      <c r="G19" s="22" t="n">
        <v>0</v>
      </c>
      <c r="H19" s="22" t="n">
        <v>0</v>
      </c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6">
      <c r="F26" t="n">
        <v>0</v>
      </c>
      <c r="G26" t="n">
        <v>0</v>
      </c>
    </row>
  </sheetData>
  <mergeCells count="6">
    <mergeCell ref="F17:H17"/>
    <mergeCell ref="N5:O5"/>
    <mergeCell ref="J8:K8"/>
    <mergeCell ref="G3:I4"/>
    <mergeCell ref="N13:O13"/>
    <mergeCell ref="J9:K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10" defaultRowHeight="16"/>
  <sheetData>
    <row r="1">
      <c r="Q1" s="1" t="n"/>
      <c r="R1" s="1" t="n"/>
    </row>
    <row r="2">
      <c r="Q2" s="1" t="n"/>
      <c r="R2" s="1" t="n"/>
    </row>
    <row r="3">
      <c r="G3" s="2" t="inlineStr">
        <is>
          <t>Отчёт: 15.03.2026</t>
        </is>
      </c>
      <c r="O3" t="inlineStr">
        <is>
          <t> </t>
        </is>
      </c>
      <c r="Q3" s="1" t="n"/>
      <c r="R3" s="1" t="n"/>
    </row>
    <row r="4">
      <c r="Q4" s="1" t="n"/>
      <c r="R4" s="1" t="n"/>
    </row>
    <row r="5" ht="17" customHeight="1" thickBot="1">
      <c r="N5" s="3" t="inlineStr">
        <is>
          <t>12/27</t>
        </is>
      </c>
      <c r="O5" s="23" t="n"/>
      <c r="Q5" s="1" t="n"/>
      <c r="R5" s="1" t="n"/>
    </row>
    <row r="6" ht="17" customHeight="1" thickBot="1">
      <c r="E6" s="4" t="n"/>
      <c r="F6" s="4" t="inlineStr">
        <is>
          <t>Б</t>
        </is>
      </c>
      <c r="G6" s="4" t="inlineStr">
        <is>
          <t>А</t>
        </is>
      </c>
      <c r="I6" s="4" t="n"/>
      <c r="J6" s="4" t="inlineStr">
        <is>
          <t>Эксп Китай</t>
        </is>
      </c>
      <c r="K6" s="4" t="inlineStr">
        <is>
          <t>Эксп Турция</t>
        </is>
      </c>
      <c r="M6" s="4" t="inlineStr">
        <is>
          <t>37х87х2,95</t>
        </is>
      </c>
      <c r="N6" s="4" t="inlineStr">
        <is>
          <t>Китай Б</t>
        </is>
      </c>
      <c r="O6" s="4" t="inlineStr">
        <is>
          <t>Китай А</t>
        </is>
      </c>
      <c r="P6" s="4" t="inlineStr">
        <is>
          <t>Китай Малые</t>
        </is>
      </c>
      <c r="Q6" s="1" t="n"/>
      <c r="R6" s="1" t="n"/>
    </row>
    <row r="7" ht="17" customHeight="1" thickBot="1">
      <c r="E7" s="5" t="inlineStr">
        <is>
          <t>Куб. м.</t>
        </is>
      </c>
      <c r="F7" s="6">
        <f>N8+N10+N16+N18+P15</f>
        <v/>
      </c>
      <c r="G7" s="6">
        <f>O8+P8+O10</f>
        <v/>
      </c>
      <c r="I7" s="5" t="inlineStr">
        <is>
          <t>Куб. м.</t>
        </is>
      </c>
      <c r="J7" s="6">
        <f>N8+P8+O8</f>
        <v/>
      </c>
      <c r="K7" s="6">
        <f>N16+O16+P16</f>
        <v/>
      </c>
      <c r="M7" s="5" t="inlineStr">
        <is>
          <t>Кол-во пак.</t>
        </is>
      </c>
      <c r="N7" s="6" t="n">
        <v>0</v>
      </c>
      <c r="O7" s="7" t="n">
        <v>0</v>
      </c>
      <c r="P7" s="6" t="n">
        <v>0</v>
      </c>
      <c r="Q7" s="1" t="n"/>
      <c r="R7" s="1" t="n"/>
    </row>
    <row r="8" ht="17" customHeight="1" thickBot="1">
      <c r="E8" s="5" t="inlineStr">
        <is>
          <t>Лес.</t>
        </is>
      </c>
      <c r="F8" s="6">
        <f>F7*2.7</f>
        <v/>
      </c>
      <c r="G8" s="6">
        <f>G7*2.1</f>
        <v/>
      </c>
      <c r="I8" s="5" t="inlineStr">
        <is>
          <t>Отбр.</t>
        </is>
      </c>
      <c r="J8" s="24">
        <f>N10+N18+O10</f>
        <v/>
      </c>
      <c r="K8" s="25" t="n"/>
      <c r="M8" s="5" t="inlineStr">
        <is>
          <t>Куб. м.</t>
        </is>
      </c>
      <c r="N8" s="7">
        <f>N7*3.08</f>
        <v/>
      </c>
      <c r="O8" s="7">
        <f>O7*3.08</f>
        <v/>
      </c>
      <c r="P8" s="7">
        <f>P7*1.14</f>
        <v/>
      </c>
      <c r="Q8" s="1" t="n"/>
      <c r="R8" s="1" t="n">
        <v>0</v>
      </c>
    </row>
    <row r="9" ht="17" customHeight="1" thickBot="1">
      <c r="G9" s="10" t="n"/>
      <c r="I9" s="5" t="inlineStr">
        <is>
          <t>Щепа</t>
        </is>
      </c>
      <c r="J9" s="24">
        <f>F8*23%</f>
        <v/>
      </c>
      <c r="K9" s="25" t="n"/>
      <c r="M9" s="5" t="inlineStr">
        <is>
          <t>Отбр. Пак.</t>
        </is>
      </c>
      <c r="N9" s="6" t="n">
        <v>0</v>
      </c>
      <c r="O9" s="7" t="n">
        <v>0</v>
      </c>
      <c r="Q9" s="1" t="n"/>
      <c r="R9" s="1" t="n"/>
    </row>
    <row r="10" ht="17" customHeight="1" thickBot="1">
      <c r="M10" s="5" t="inlineStr">
        <is>
          <t>Отбр. Куб.</t>
        </is>
      </c>
      <c r="N10" s="7">
        <f>3*N9</f>
        <v/>
      </c>
      <c r="O10" s="7">
        <f>3*O9</f>
        <v/>
      </c>
      <c r="Q10" s="1" t="n"/>
      <c r="R10" s="1" t="n"/>
    </row>
    <row r="11" ht="17" customHeight="1" thickBot="1">
      <c r="Q11" s="1" t="n"/>
      <c r="R11" s="1" t="n"/>
    </row>
    <row r="12" ht="17" customHeight="1" thickBot="1">
      <c r="E12" s="11" t="n"/>
      <c r="F12" s="11" t="inlineStr">
        <is>
          <t>Акула</t>
        </is>
      </c>
      <c r="Q12" s="1" t="n"/>
      <c r="R12" s="1" t="n"/>
    </row>
    <row r="13" ht="17" customHeight="1" thickBot="1">
      <c r="E13" s="12" t="inlineStr">
        <is>
          <t>куб.м.</t>
        </is>
      </c>
      <c r="F13" s="13">
        <f>F26+G26</f>
        <v/>
      </c>
      <c r="G13" s="14" t="n"/>
      <c r="N13" s="15" t="n"/>
      <c r="O13" s="23" t="n"/>
      <c r="Q13" s="1" t="n"/>
      <c r="R13" s="1" t="n"/>
    </row>
    <row r="14" ht="17" customHeight="1" thickBot="1">
      <c r="E14" s="12" t="inlineStr">
        <is>
          <t>лес</t>
        </is>
      </c>
      <c r="F14" s="13">
        <f>2.1*F13</f>
        <v/>
      </c>
      <c r="G14" s="14" t="n"/>
      <c r="M14" s="4" t="inlineStr">
        <is>
          <t>43х93х3,02</t>
        </is>
      </c>
      <c r="N14" s="4" t="inlineStr">
        <is>
          <t>Турция Б</t>
        </is>
      </c>
      <c r="O14" s="4" t="inlineStr">
        <is>
          <t>Турция А</t>
        </is>
      </c>
      <c r="P14" s="4" t="inlineStr">
        <is>
          <t>Турция Малые</t>
        </is>
      </c>
      <c r="Q14" s="1" t="n"/>
      <c r="R14" s="1" t="n"/>
    </row>
    <row r="15" ht="17" customHeight="1" thickBot="1">
      <c r="E15" s="16" t="n"/>
      <c r="F15" s="17" t="n"/>
      <c r="G15" s="18" t="n"/>
      <c r="M15" s="4" t="inlineStr">
        <is>
          <t>Кол-во пак.</t>
        </is>
      </c>
      <c r="N15" s="7" t="n"/>
      <c r="O15" s="7" t="n"/>
      <c r="P15" s="7" t="n"/>
      <c r="Q15" s="1" t="n"/>
      <c r="R15" s="1" t="n"/>
    </row>
    <row r="16" ht="17" customHeight="1" thickBot="1">
      <c r="E16" s="19" t="n"/>
      <c r="F16" s="19" t="n"/>
      <c r="G16" s="19" t="n"/>
      <c r="I16" t="inlineStr">
        <is>
          <t> </t>
        </is>
      </c>
      <c r="M16" s="4" t="inlineStr">
        <is>
          <t>Куб.м.</t>
        </is>
      </c>
      <c r="N16" s="7">
        <f>N15*2.17</f>
        <v/>
      </c>
      <c r="O16" s="7" t="n"/>
      <c r="P16" s="7">
        <f>P15*1.3</f>
        <v/>
      </c>
      <c r="Q16" s="1" t="n"/>
      <c r="R16" s="1" t="n"/>
    </row>
    <row r="17" ht="17" customHeight="1" thickBot="1">
      <c r="F17" s="20" t="inlineStr">
        <is>
          <t>Склад, кол-во пачек</t>
        </is>
      </c>
      <c r="G17" s="26" t="n"/>
      <c r="H17" s="25" t="n"/>
      <c r="M17" s="4" t="inlineStr">
        <is>
          <t>Отбр. Пак.</t>
        </is>
      </c>
      <c r="N17" s="7" t="n"/>
      <c r="O17" s="7" t="n"/>
      <c r="Q17" s="1" t="n"/>
      <c r="R17" s="1" t="n"/>
    </row>
    <row r="18" ht="17" customHeight="1" thickBot="1">
      <c r="F18" s="21" t="inlineStr">
        <is>
          <t>Экспорт</t>
        </is>
      </c>
      <c r="G18" s="21" t="inlineStr">
        <is>
          <t>Кавказ</t>
        </is>
      </c>
      <c r="H18" s="21" t="inlineStr">
        <is>
          <t>Отбраковка</t>
        </is>
      </c>
      <c r="M18" s="4" t="inlineStr">
        <is>
          <t>Отбр. Куб.</t>
        </is>
      </c>
      <c r="N18" s="7">
        <f>N17*2.203</f>
        <v/>
      </c>
      <c r="O18" s="7" t="n"/>
      <c r="Q18" s="1" t="n"/>
      <c r="R18" s="1" t="n"/>
    </row>
    <row r="19" ht="17" customHeight="1" thickBot="1">
      <c r="F19" s="22" t="n">
        <v>0</v>
      </c>
      <c r="G19" s="22" t="n">
        <v>0</v>
      </c>
      <c r="H19" s="22" t="n">
        <v>0</v>
      </c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6">
      <c r="F26" t="n">
        <v>0</v>
      </c>
      <c r="G26" t="n">
        <v>0</v>
      </c>
    </row>
  </sheetData>
  <mergeCells count="6">
    <mergeCell ref="F17:H17"/>
    <mergeCell ref="N5:O5"/>
    <mergeCell ref="J8:K8"/>
    <mergeCell ref="G3:I4"/>
    <mergeCell ref="N13:O13"/>
    <mergeCell ref="J9:K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10" defaultRowHeight="16"/>
  <sheetData>
    <row r="1">
      <c r="Q1" s="1" t="n"/>
      <c r="R1" s="1" t="n"/>
    </row>
    <row r="2">
      <c r="Q2" s="1" t="n"/>
      <c r="R2" s="1" t="n"/>
    </row>
    <row r="3">
      <c r="G3" s="2" t="inlineStr">
        <is>
          <t>Отчёт: 18.03.2026</t>
        </is>
      </c>
      <c r="O3" t="inlineStr">
        <is>
          <t> </t>
        </is>
      </c>
      <c r="Q3" s="1" t="n"/>
      <c r="R3" s="1" t="n"/>
    </row>
    <row r="4">
      <c r="Q4" s="1" t="n"/>
      <c r="R4" s="1" t="n"/>
    </row>
    <row r="5" ht="17" customHeight="1" thickBot="1">
      <c r="N5" s="3" t="inlineStr">
        <is>
          <t>12/27</t>
        </is>
      </c>
      <c r="O5" s="23" t="n"/>
      <c r="Q5" s="1" t="n"/>
      <c r="R5" s="1" t="n"/>
    </row>
    <row r="6" ht="17" customHeight="1" thickBot="1">
      <c r="E6" s="4" t="n"/>
      <c r="F6" s="4" t="inlineStr">
        <is>
          <t>Б</t>
        </is>
      </c>
      <c r="G6" s="4" t="inlineStr">
        <is>
          <t>А</t>
        </is>
      </c>
      <c r="I6" s="4" t="n"/>
      <c r="J6" s="4" t="inlineStr">
        <is>
          <t>Эксп Китай</t>
        </is>
      </c>
      <c r="K6" s="4" t="inlineStr">
        <is>
          <t>Эксп Турция</t>
        </is>
      </c>
      <c r="M6" s="4" t="inlineStr">
        <is>
          <t>37х87х2,95</t>
        </is>
      </c>
      <c r="N6" s="4" t="inlineStr">
        <is>
          <t>Китай Б</t>
        </is>
      </c>
      <c r="O6" s="4" t="inlineStr">
        <is>
          <t>Китай А</t>
        </is>
      </c>
      <c r="P6" s="4" t="inlineStr">
        <is>
          <t>Китай Малые</t>
        </is>
      </c>
      <c r="Q6" s="1" t="n"/>
      <c r="R6" s="1" t="n"/>
    </row>
    <row r="7" ht="17" customHeight="1" thickBot="1">
      <c r="E7" s="5" t="inlineStr">
        <is>
          <t>Куб. м.</t>
        </is>
      </c>
      <c r="F7" s="6">
        <f>N8+N10+N16+N18+P15</f>
        <v/>
      </c>
      <c r="G7" s="6">
        <f>O8+P8+O10</f>
        <v/>
      </c>
      <c r="I7" s="5" t="inlineStr">
        <is>
          <t>Куб. м.</t>
        </is>
      </c>
      <c r="J7" s="6">
        <f>N8+P8+O8</f>
        <v/>
      </c>
      <c r="K7" s="6">
        <f>N16+O16+P16</f>
        <v/>
      </c>
      <c r="M7" s="5" t="inlineStr">
        <is>
          <t>Кол-во пак.</t>
        </is>
      </c>
      <c r="N7" s="6" t="n">
        <v>0</v>
      </c>
      <c r="O7" s="7" t="n">
        <v>0</v>
      </c>
      <c r="P7" s="6" t="n">
        <v>0</v>
      </c>
      <c r="Q7" s="1" t="n"/>
      <c r="R7" s="1" t="n"/>
    </row>
    <row r="8" ht="17" customHeight="1" thickBot="1">
      <c r="E8" s="5" t="inlineStr">
        <is>
          <t>Лес.</t>
        </is>
      </c>
      <c r="F8" s="6">
        <f>F7*2.7</f>
        <v/>
      </c>
      <c r="G8" s="6">
        <f>G7*2.1</f>
        <v/>
      </c>
      <c r="I8" s="5" t="inlineStr">
        <is>
          <t>Отбр.</t>
        </is>
      </c>
      <c r="J8" s="24">
        <f>N10+N18+O10</f>
        <v/>
      </c>
      <c r="K8" s="25" t="n"/>
      <c r="M8" s="5" t="inlineStr">
        <is>
          <t>Куб. м.</t>
        </is>
      </c>
      <c r="N8" s="7">
        <f>N7*3.08</f>
        <v/>
      </c>
      <c r="O8" s="7">
        <f>O7*3.08</f>
        <v/>
      </c>
      <c r="P8" s="7">
        <f>P7*1.14</f>
        <v/>
      </c>
      <c r="Q8" s="1" t="n"/>
      <c r="R8" s="1" t="n">
        <v>0</v>
      </c>
    </row>
    <row r="9" ht="17" customHeight="1" thickBot="1">
      <c r="G9" s="10" t="n"/>
      <c r="I9" s="5" t="inlineStr">
        <is>
          <t>Щепа</t>
        </is>
      </c>
      <c r="J9" s="24">
        <f>F8*23%</f>
        <v/>
      </c>
      <c r="K9" s="25" t="n"/>
      <c r="M9" s="5" t="inlineStr">
        <is>
          <t>Отбр. Пак.</t>
        </is>
      </c>
      <c r="N9" s="6" t="n">
        <v>0</v>
      </c>
      <c r="O9" s="7" t="n">
        <v>0</v>
      </c>
      <c r="Q9" s="1" t="n"/>
      <c r="R9" s="1" t="n"/>
    </row>
    <row r="10" ht="17" customHeight="1" thickBot="1">
      <c r="M10" s="5" t="inlineStr">
        <is>
          <t>Отбр. Куб.</t>
        </is>
      </c>
      <c r="N10" s="7">
        <f>3*N9</f>
        <v/>
      </c>
      <c r="O10" s="7">
        <f>3*O9</f>
        <v/>
      </c>
      <c r="Q10" s="1" t="n"/>
      <c r="R10" s="1" t="n"/>
    </row>
    <row r="11" ht="17" customHeight="1" thickBot="1">
      <c r="Q11" s="1" t="n"/>
      <c r="R11" s="1" t="n"/>
    </row>
    <row r="12" ht="17" customHeight="1" thickBot="1">
      <c r="E12" s="11" t="n"/>
      <c r="F12" s="11" t="inlineStr">
        <is>
          <t>Акула</t>
        </is>
      </c>
      <c r="Q12" s="1" t="n"/>
      <c r="R12" s="1" t="n"/>
    </row>
    <row r="13" ht="17" customHeight="1" thickBot="1">
      <c r="E13" s="12" t="inlineStr">
        <is>
          <t>куб.м.</t>
        </is>
      </c>
      <c r="F13" s="13">
        <f>F26+G26</f>
        <v/>
      </c>
      <c r="G13" s="14" t="n"/>
      <c r="N13" s="15" t="n"/>
      <c r="O13" s="23" t="n"/>
      <c r="Q13" s="1" t="n"/>
      <c r="R13" s="1" t="n"/>
    </row>
    <row r="14" ht="17" customHeight="1" thickBot="1">
      <c r="E14" s="12" t="inlineStr">
        <is>
          <t>лес</t>
        </is>
      </c>
      <c r="F14" s="13">
        <f>2.1*F13</f>
        <v/>
      </c>
      <c r="G14" s="14" t="n"/>
      <c r="M14" s="4" t="inlineStr">
        <is>
          <t>43х93х3,02</t>
        </is>
      </c>
      <c r="N14" s="4" t="inlineStr">
        <is>
          <t>Турция Б</t>
        </is>
      </c>
      <c r="O14" s="4" t="inlineStr">
        <is>
          <t>Турция А</t>
        </is>
      </c>
      <c r="P14" s="4" t="inlineStr">
        <is>
          <t>Турция Малые</t>
        </is>
      </c>
      <c r="Q14" s="1" t="n"/>
      <c r="R14" s="1" t="n"/>
    </row>
    <row r="15" ht="17" customHeight="1" thickBot="1">
      <c r="E15" s="16" t="n"/>
      <c r="F15" s="17" t="n"/>
      <c r="G15" s="18" t="n"/>
      <c r="M15" s="4" t="inlineStr">
        <is>
          <t>Кол-во пак.</t>
        </is>
      </c>
      <c r="N15" s="7" t="n"/>
      <c r="O15" s="7" t="n"/>
      <c r="P15" s="7" t="n"/>
      <c r="Q15" s="1" t="n"/>
      <c r="R15" s="1" t="n"/>
    </row>
    <row r="16" ht="17" customHeight="1" thickBot="1">
      <c r="E16" s="19" t="n"/>
      <c r="F16" s="19" t="n"/>
      <c r="G16" s="19" t="n"/>
      <c r="I16" t="inlineStr">
        <is>
          <t> </t>
        </is>
      </c>
      <c r="M16" s="4" t="inlineStr">
        <is>
          <t>Куб.м.</t>
        </is>
      </c>
      <c r="N16" s="7">
        <f>N15*2.17</f>
        <v/>
      </c>
      <c r="O16" s="7" t="n"/>
      <c r="P16" s="7">
        <f>P15*1.3</f>
        <v/>
      </c>
      <c r="Q16" s="1" t="n"/>
      <c r="R16" s="1" t="n"/>
    </row>
    <row r="17" ht="17" customHeight="1" thickBot="1">
      <c r="F17" s="20" t="inlineStr">
        <is>
          <t>Склад, кол-во пачек</t>
        </is>
      </c>
      <c r="G17" s="26" t="n"/>
      <c r="H17" s="25" t="n"/>
      <c r="M17" s="4" t="inlineStr">
        <is>
          <t>Отбр. Пак.</t>
        </is>
      </c>
      <c r="N17" s="7" t="n"/>
      <c r="O17" s="7" t="n"/>
      <c r="Q17" s="1" t="n"/>
      <c r="R17" s="1" t="n"/>
    </row>
    <row r="18" ht="17" customHeight="1" thickBot="1">
      <c r="F18" s="21" t="inlineStr">
        <is>
          <t>Экспорт</t>
        </is>
      </c>
      <c r="G18" s="21" t="inlineStr">
        <is>
          <t>Кавказ</t>
        </is>
      </c>
      <c r="H18" s="21" t="inlineStr">
        <is>
          <t>Отбраковка</t>
        </is>
      </c>
      <c r="M18" s="4" t="inlineStr">
        <is>
          <t>Отбр. Куб.</t>
        </is>
      </c>
      <c r="N18" s="7">
        <f>N17*2.203</f>
        <v/>
      </c>
      <c r="O18" s="7" t="n"/>
      <c r="Q18" s="1" t="n"/>
      <c r="R18" s="1" t="n"/>
    </row>
    <row r="19" ht="17" customHeight="1" thickBot="1">
      <c r="F19" s="22" t="n">
        <v>0</v>
      </c>
      <c r="G19" s="22" t="n">
        <v>0</v>
      </c>
      <c r="H19" s="22" t="n">
        <v>0</v>
      </c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6">
      <c r="F26" t="n">
        <v>0</v>
      </c>
      <c r="G26" t="n">
        <v>0</v>
      </c>
    </row>
  </sheetData>
  <mergeCells count="6">
    <mergeCell ref="F17:H17"/>
    <mergeCell ref="N5:O5"/>
    <mergeCell ref="J8:K8"/>
    <mergeCell ref="G3:I4"/>
    <mergeCell ref="N13:O13"/>
    <mergeCell ref="J9:K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10" defaultRowHeight="16"/>
  <sheetData>
    <row r="1">
      <c r="Q1" s="1" t="n"/>
      <c r="R1" s="1" t="n"/>
    </row>
    <row r="2">
      <c r="Q2" s="1" t="n"/>
      <c r="R2" s="1" t="n"/>
    </row>
    <row r="3">
      <c r="G3" s="2" t="inlineStr">
        <is>
          <t>Отчёт: 19.03.2026</t>
        </is>
      </c>
      <c r="O3" t="inlineStr">
        <is>
          <t> </t>
        </is>
      </c>
      <c r="Q3" s="1" t="n"/>
      <c r="R3" s="1" t="n"/>
    </row>
    <row r="4">
      <c r="Q4" s="1" t="n"/>
      <c r="R4" s="1" t="n"/>
    </row>
    <row r="5" ht="17" customHeight="1" thickBot="1">
      <c r="N5" s="3" t="inlineStr">
        <is>
          <t>12/27</t>
        </is>
      </c>
      <c r="O5" s="23" t="n"/>
      <c r="Q5" s="1" t="n"/>
      <c r="R5" s="1" t="n"/>
    </row>
    <row r="6" ht="17" customHeight="1" thickBot="1">
      <c r="E6" s="4" t="n"/>
      <c r="F6" s="4" t="inlineStr">
        <is>
          <t>Б</t>
        </is>
      </c>
      <c r="G6" s="4" t="inlineStr">
        <is>
          <t>А</t>
        </is>
      </c>
      <c r="I6" s="4" t="n"/>
      <c r="J6" s="4" t="inlineStr">
        <is>
          <t>Эксп Китай</t>
        </is>
      </c>
      <c r="K6" s="4" t="inlineStr">
        <is>
          <t>Эксп Турция</t>
        </is>
      </c>
      <c r="M6" s="4" t="inlineStr">
        <is>
          <t>37х87х2,95</t>
        </is>
      </c>
      <c r="N6" s="4" t="inlineStr">
        <is>
          <t>Китай Б</t>
        </is>
      </c>
      <c r="O6" s="4" t="inlineStr">
        <is>
          <t>Китай А</t>
        </is>
      </c>
      <c r="P6" s="4" t="inlineStr">
        <is>
          <t>Китай Малые</t>
        </is>
      </c>
      <c r="Q6" s="1" t="n"/>
      <c r="R6" s="1" t="n"/>
    </row>
    <row r="7" ht="17" customHeight="1" thickBot="1">
      <c r="E7" s="5" t="inlineStr">
        <is>
          <t>Куб. м.</t>
        </is>
      </c>
      <c r="F7" s="6">
        <f>N8+N10+N16+N18+P15</f>
        <v/>
      </c>
      <c r="G7" s="6">
        <f>O8+P8+O10</f>
        <v/>
      </c>
      <c r="I7" s="5" t="inlineStr">
        <is>
          <t>Куб. м.</t>
        </is>
      </c>
      <c r="J7" s="6">
        <f>N8+P8+O8</f>
        <v/>
      </c>
      <c r="K7" s="6">
        <f>N16+O16+P16</f>
        <v/>
      </c>
      <c r="M7" s="5" t="inlineStr">
        <is>
          <t>Кол-во пак.</t>
        </is>
      </c>
      <c r="N7" s="6" t="n">
        <v>0</v>
      </c>
      <c r="O7" s="7" t="n">
        <v>0</v>
      </c>
      <c r="P7" s="6" t="n">
        <v>0</v>
      </c>
      <c r="Q7" s="1" t="n"/>
      <c r="R7" s="1" t="n"/>
    </row>
    <row r="8" ht="17" customHeight="1" thickBot="1">
      <c r="E8" s="5" t="inlineStr">
        <is>
          <t>Лес.</t>
        </is>
      </c>
      <c r="F8" s="6">
        <f>F7*2.7</f>
        <v/>
      </c>
      <c r="G8" s="6">
        <f>G7*2.1</f>
        <v/>
      </c>
      <c r="I8" s="5" t="inlineStr">
        <is>
          <t>Отбр.</t>
        </is>
      </c>
      <c r="J8" s="24">
        <f>N10+N18+O10</f>
        <v/>
      </c>
      <c r="K8" s="25" t="n"/>
      <c r="M8" s="5" t="inlineStr">
        <is>
          <t>Куб. м.</t>
        </is>
      </c>
      <c r="N8" s="7">
        <f>N7*3.08</f>
        <v/>
      </c>
      <c r="O8" s="7">
        <f>O7*3.08</f>
        <v/>
      </c>
      <c r="P8" s="7">
        <f>P7*1.14</f>
        <v/>
      </c>
      <c r="Q8" s="1" t="n"/>
      <c r="R8" s="1" t="n">
        <v>0</v>
      </c>
    </row>
    <row r="9" ht="17" customHeight="1" thickBot="1">
      <c r="G9" s="10" t="n"/>
      <c r="I9" s="5" t="inlineStr">
        <is>
          <t>Щепа</t>
        </is>
      </c>
      <c r="J9" s="24">
        <f>F8*23%</f>
        <v/>
      </c>
      <c r="K9" s="25" t="n"/>
      <c r="M9" s="5" t="inlineStr">
        <is>
          <t>Отбр. Пак.</t>
        </is>
      </c>
      <c r="N9" s="6" t="n">
        <v>0</v>
      </c>
      <c r="O9" s="7" t="n">
        <v>0</v>
      </c>
      <c r="Q9" s="1" t="n"/>
      <c r="R9" s="1" t="n"/>
    </row>
    <row r="10" ht="17" customHeight="1" thickBot="1">
      <c r="M10" s="5" t="inlineStr">
        <is>
          <t>Отбр. Куб.</t>
        </is>
      </c>
      <c r="N10" s="7">
        <f>3*N9</f>
        <v/>
      </c>
      <c r="O10" s="7">
        <f>3*O9</f>
        <v/>
      </c>
      <c r="Q10" s="1" t="n"/>
      <c r="R10" s="1" t="n"/>
    </row>
    <row r="11" ht="17" customHeight="1" thickBot="1">
      <c r="Q11" s="1" t="n"/>
      <c r="R11" s="1" t="n"/>
    </row>
    <row r="12" ht="17" customHeight="1" thickBot="1">
      <c r="E12" s="11" t="n"/>
      <c r="F12" s="11" t="inlineStr">
        <is>
          <t>Акула</t>
        </is>
      </c>
      <c r="Q12" s="1" t="n"/>
      <c r="R12" s="1" t="n"/>
    </row>
    <row r="13" ht="17" customHeight="1" thickBot="1">
      <c r="E13" s="12" t="inlineStr">
        <is>
          <t>куб.м.</t>
        </is>
      </c>
      <c r="F13" s="13">
        <f>F26+G26</f>
        <v/>
      </c>
      <c r="G13" s="14" t="n"/>
      <c r="N13" s="15" t="n"/>
      <c r="O13" s="23" t="n"/>
      <c r="Q13" s="1" t="n"/>
      <c r="R13" s="1" t="n"/>
    </row>
    <row r="14" ht="17" customHeight="1" thickBot="1">
      <c r="E14" s="12" t="inlineStr">
        <is>
          <t>лес</t>
        </is>
      </c>
      <c r="F14" s="13">
        <f>2.1*F13</f>
        <v/>
      </c>
      <c r="G14" s="14" t="n"/>
      <c r="M14" s="4" t="inlineStr">
        <is>
          <t>43х93х3,02</t>
        </is>
      </c>
      <c r="N14" s="4" t="inlineStr">
        <is>
          <t>Турция Б</t>
        </is>
      </c>
      <c r="O14" s="4" t="inlineStr">
        <is>
          <t>Турция А</t>
        </is>
      </c>
      <c r="P14" s="4" t="inlineStr">
        <is>
          <t>Турция Малые</t>
        </is>
      </c>
      <c r="Q14" s="1" t="n"/>
      <c r="R14" s="1" t="n"/>
    </row>
    <row r="15" ht="17" customHeight="1" thickBot="1">
      <c r="E15" s="16" t="n"/>
      <c r="F15" s="17" t="n"/>
      <c r="G15" s="18" t="n"/>
      <c r="M15" s="4" t="inlineStr">
        <is>
          <t>Кол-во пак.</t>
        </is>
      </c>
      <c r="N15" s="7" t="n"/>
      <c r="O15" s="7" t="n"/>
      <c r="P15" s="7" t="n"/>
      <c r="Q15" s="1" t="n"/>
      <c r="R15" s="1" t="n"/>
    </row>
    <row r="16" ht="17" customHeight="1" thickBot="1">
      <c r="E16" s="19" t="n"/>
      <c r="F16" s="19" t="n"/>
      <c r="G16" s="19" t="n"/>
      <c r="I16" t="inlineStr">
        <is>
          <t> </t>
        </is>
      </c>
      <c r="M16" s="4" t="inlineStr">
        <is>
          <t>Куб.м.</t>
        </is>
      </c>
      <c r="N16" s="7">
        <f>N15*2.17</f>
        <v/>
      </c>
      <c r="O16" s="7" t="n"/>
      <c r="P16" s="7">
        <f>P15*1.3</f>
        <v/>
      </c>
      <c r="Q16" s="1" t="n"/>
      <c r="R16" s="1" t="n"/>
    </row>
    <row r="17" ht="17" customHeight="1" thickBot="1">
      <c r="F17" s="20" t="inlineStr">
        <is>
          <t>Склад, кол-во пачек</t>
        </is>
      </c>
      <c r="G17" s="26" t="n"/>
      <c r="H17" s="25" t="n"/>
      <c r="M17" s="4" t="inlineStr">
        <is>
          <t>Отбр. Пак.</t>
        </is>
      </c>
      <c r="N17" s="7" t="n"/>
      <c r="O17" s="7" t="n"/>
      <c r="Q17" s="1" t="n"/>
      <c r="R17" s="1" t="n"/>
    </row>
    <row r="18" ht="17" customHeight="1" thickBot="1">
      <c r="F18" s="21" t="inlineStr">
        <is>
          <t>Экспорт</t>
        </is>
      </c>
      <c r="G18" s="21" t="inlineStr">
        <is>
          <t>Кавказ</t>
        </is>
      </c>
      <c r="H18" s="21" t="inlineStr">
        <is>
          <t>Отбраковка</t>
        </is>
      </c>
      <c r="M18" s="4" t="inlineStr">
        <is>
          <t>Отбр. Куб.</t>
        </is>
      </c>
      <c r="N18" s="7">
        <f>N17*2.203</f>
        <v/>
      </c>
      <c r="O18" s="7" t="n"/>
      <c r="Q18" s="1" t="n"/>
      <c r="R18" s="1" t="n"/>
    </row>
    <row r="19" ht="17" customHeight="1" thickBot="1">
      <c r="F19" s="22" t="n">
        <v>0</v>
      </c>
      <c r="G19" s="22" t="n">
        <v>0</v>
      </c>
      <c r="H19" s="22" t="n">
        <v>0</v>
      </c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6">
      <c r="F26" t="n">
        <v>0</v>
      </c>
      <c r="G26" t="n">
        <v>0</v>
      </c>
    </row>
  </sheetData>
  <mergeCells count="6">
    <mergeCell ref="F17:H17"/>
    <mergeCell ref="N5:O5"/>
    <mergeCell ref="J8:K8"/>
    <mergeCell ref="G3:I4"/>
    <mergeCell ref="N13:O13"/>
    <mergeCell ref="J9:K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10" defaultRowHeight="16"/>
  <sheetData>
    <row r="1">
      <c r="Q1" s="1" t="n"/>
      <c r="R1" s="1" t="n"/>
    </row>
    <row r="2">
      <c r="Q2" s="1" t="n"/>
      <c r="R2" s="1" t="n"/>
    </row>
    <row r="3">
      <c r="G3" s="2" t="inlineStr">
        <is>
          <t>Отчёт: 22.03.2026</t>
        </is>
      </c>
      <c r="O3" t="inlineStr">
        <is>
          <t> </t>
        </is>
      </c>
      <c r="Q3" s="1" t="n"/>
      <c r="R3" s="1" t="n"/>
    </row>
    <row r="4">
      <c r="Q4" s="1" t="n"/>
      <c r="R4" s="1" t="n"/>
    </row>
    <row r="5" ht="17" customHeight="1" thickBot="1">
      <c r="N5" s="3" t="inlineStr">
        <is>
          <t>12/27</t>
        </is>
      </c>
      <c r="O5" s="23" t="n"/>
      <c r="Q5" s="1" t="n"/>
      <c r="R5" s="1" t="n"/>
    </row>
    <row r="6" ht="17" customHeight="1" thickBot="1">
      <c r="E6" s="4" t="n"/>
      <c r="F6" s="4" t="inlineStr">
        <is>
          <t>Б</t>
        </is>
      </c>
      <c r="G6" s="4" t="inlineStr">
        <is>
          <t>А</t>
        </is>
      </c>
      <c r="I6" s="4" t="n"/>
      <c r="J6" s="4" t="inlineStr">
        <is>
          <t>Эксп Китай</t>
        </is>
      </c>
      <c r="K6" s="4" t="inlineStr">
        <is>
          <t>Эксп Турция</t>
        </is>
      </c>
      <c r="M6" s="4" t="inlineStr">
        <is>
          <t>37х87х2,95</t>
        </is>
      </c>
      <c r="N6" s="4" t="inlineStr">
        <is>
          <t>Китай Б</t>
        </is>
      </c>
      <c r="O6" s="4" t="inlineStr">
        <is>
          <t>Китай А</t>
        </is>
      </c>
      <c r="P6" s="4" t="inlineStr">
        <is>
          <t>Китай Малые</t>
        </is>
      </c>
      <c r="Q6" s="1" t="n"/>
      <c r="R6" s="1" t="n"/>
    </row>
    <row r="7" ht="17" customHeight="1" thickBot="1">
      <c r="E7" s="5" t="inlineStr">
        <is>
          <t>Куб. м.</t>
        </is>
      </c>
      <c r="F7" s="6">
        <f>N8+N10+N16+N18+P15</f>
        <v/>
      </c>
      <c r="G7" s="6">
        <f>O8+P8+O10</f>
        <v/>
      </c>
      <c r="I7" s="5" t="inlineStr">
        <is>
          <t>Куб. м.</t>
        </is>
      </c>
      <c r="J7" s="6">
        <f>N8+P8+O8</f>
        <v/>
      </c>
      <c r="K7" s="6">
        <f>N16+O16+P16</f>
        <v/>
      </c>
      <c r="M7" s="5" t="inlineStr">
        <is>
          <t>Кол-во пак.</t>
        </is>
      </c>
      <c r="N7" s="6" t="n">
        <v>0</v>
      </c>
      <c r="O7" s="7" t="n">
        <v>0</v>
      </c>
      <c r="P7" s="6" t="n">
        <v>0</v>
      </c>
      <c r="Q7" s="1" t="n"/>
      <c r="R7" s="1" t="n"/>
    </row>
    <row r="8" ht="17" customHeight="1" thickBot="1">
      <c r="E8" s="5" t="inlineStr">
        <is>
          <t>Лес.</t>
        </is>
      </c>
      <c r="F8" s="6">
        <f>F7*2.7</f>
        <v/>
      </c>
      <c r="G8" s="6">
        <f>G7*2.1</f>
        <v/>
      </c>
      <c r="I8" s="5" t="inlineStr">
        <is>
          <t>Отбр.</t>
        </is>
      </c>
      <c r="J8" s="24">
        <f>N10+N18+O10</f>
        <v/>
      </c>
      <c r="K8" s="25" t="n"/>
      <c r="M8" s="5" t="inlineStr">
        <is>
          <t>Куб. м.</t>
        </is>
      </c>
      <c r="N8" s="7">
        <f>N7*3.08</f>
        <v/>
      </c>
      <c r="O8" s="7">
        <f>O7*3.08</f>
        <v/>
      </c>
      <c r="P8" s="7">
        <f>P7*1.14</f>
        <v/>
      </c>
      <c r="Q8" s="1" t="n"/>
      <c r="R8" s="1" t="n">
        <v>0</v>
      </c>
    </row>
    <row r="9" ht="17" customHeight="1" thickBot="1">
      <c r="G9" s="10" t="n"/>
      <c r="I9" s="5" t="inlineStr">
        <is>
          <t>Щепа</t>
        </is>
      </c>
      <c r="J9" s="24">
        <f>F8*23%</f>
        <v/>
      </c>
      <c r="K9" s="25" t="n"/>
      <c r="M9" s="5" t="inlineStr">
        <is>
          <t>Отбр. Пак.</t>
        </is>
      </c>
      <c r="N9" s="6" t="n">
        <v>0</v>
      </c>
      <c r="O9" s="7" t="n">
        <v>0</v>
      </c>
      <c r="Q9" s="1" t="n"/>
      <c r="R9" s="1" t="n"/>
    </row>
    <row r="10" ht="17" customHeight="1" thickBot="1">
      <c r="M10" s="5" t="inlineStr">
        <is>
          <t>Отбр. Куб.</t>
        </is>
      </c>
      <c r="N10" s="7">
        <f>3*N9</f>
        <v/>
      </c>
      <c r="O10" s="7">
        <f>3*O9</f>
        <v/>
      </c>
      <c r="Q10" s="1" t="n"/>
      <c r="R10" s="1" t="n"/>
    </row>
    <row r="11" ht="17" customHeight="1" thickBot="1">
      <c r="Q11" s="1" t="n"/>
      <c r="R11" s="1" t="n"/>
    </row>
    <row r="12" ht="17" customHeight="1" thickBot="1">
      <c r="E12" s="11" t="n"/>
      <c r="F12" s="11" t="inlineStr">
        <is>
          <t>Акула</t>
        </is>
      </c>
      <c r="Q12" s="1" t="n"/>
      <c r="R12" s="1" t="n"/>
    </row>
    <row r="13" ht="17" customHeight="1" thickBot="1">
      <c r="E13" s="12" t="inlineStr">
        <is>
          <t>куб.м.</t>
        </is>
      </c>
      <c r="F13" s="13">
        <f>F26+G26</f>
        <v/>
      </c>
      <c r="G13" s="14" t="n"/>
      <c r="N13" s="15" t="n"/>
      <c r="O13" s="23" t="n"/>
      <c r="Q13" s="1" t="n"/>
      <c r="R13" s="1" t="n"/>
    </row>
    <row r="14" ht="17" customHeight="1" thickBot="1">
      <c r="E14" s="12" t="inlineStr">
        <is>
          <t>лес</t>
        </is>
      </c>
      <c r="F14" s="13">
        <f>2.1*F13</f>
        <v/>
      </c>
      <c r="G14" s="14" t="n"/>
      <c r="M14" s="4" t="inlineStr">
        <is>
          <t>43х93х3,02</t>
        </is>
      </c>
      <c r="N14" s="4" t="inlineStr">
        <is>
          <t>Турция Б</t>
        </is>
      </c>
      <c r="O14" s="4" t="inlineStr">
        <is>
          <t>Турция А</t>
        </is>
      </c>
      <c r="P14" s="4" t="inlineStr">
        <is>
          <t>Турция Малые</t>
        </is>
      </c>
      <c r="Q14" s="1" t="n"/>
      <c r="R14" s="1" t="n"/>
    </row>
    <row r="15" ht="17" customHeight="1" thickBot="1">
      <c r="E15" s="16" t="n"/>
      <c r="F15" s="17" t="n"/>
      <c r="G15" s="18" t="n"/>
      <c r="M15" s="4" t="inlineStr">
        <is>
          <t>Кол-во пак.</t>
        </is>
      </c>
      <c r="N15" s="7" t="n"/>
      <c r="O15" s="7" t="n"/>
      <c r="P15" s="7" t="n"/>
      <c r="Q15" s="1" t="n"/>
      <c r="R15" s="1" t="n"/>
    </row>
    <row r="16" ht="17" customHeight="1" thickBot="1">
      <c r="E16" s="19" t="n"/>
      <c r="F16" s="19" t="n"/>
      <c r="G16" s="19" t="n"/>
      <c r="I16" t="inlineStr">
        <is>
          <t> </t>
        </is>
      </c>
      <c r="M16" s="4" t="inlineStr">
        <is>
          <t>Куб.м.</t>
        </is>
      </c>
      <c r="N16" s="7">
        <f>N15*2.17</f>
        <v/>
      </c>
      <c r="O16" s="7" t="n"/>
      <c r="P16" s="7">
        <f>P15*1.3</f>
        <v/>
      </c>
      <c r="Q16" s="1" t="n"/>
      <c r="R16" s="1" t="n"/>
    </row>
    <row r="17" ht="17" customHeight="1" thickBot="1">
      <c r="F17" s="20" t="inlineStr">
        <is>
          <t>Склад, кол-во пачек</t>
        </is>
      </c>
      <c r="G17" s="26" t="n"/>
      <c r="H17" s="25" t="n"/>
      <c r="M17" s="4" t="inlineStr">
        <is>
          <t>Отбр. Пак.</t>
        </is>
      </c>
      <c r="N17" s="7" t="n"/>
      <c r="O17" s="7" t="n"/>
      <c r="Q17" s="1" t="n"/>
      <c r="R17" s="1" t="n"/>
    </row>
    <row r="18" ht="17" customHeight="1" thickBot="1">
      <c r="F18" s="21" t="inlineStr">
        <is>
          <t>Экспорт</t>
        </is>
      </c>
      <c r="G18" s="21" t="inlineStr">
        <is>
          <t>Кавказ</t>
        </is>
      </c>
      <c r="H18" s="21" t="inlineStr">
        <is>
          <t>Отбраковка</t>
        </is>
      </c>
      <c r="M18" s="4" t="inlineStr">
        <is>
          <t>Отбр. Куб.</t>
        </is>
      </c>
      <c r="N18" s="7">
        <f>N17*2.203</f>
        <v/>
      </c>
      <c r="O18" s="7" t="n"/>
      <c r="Q18" s="1" t="n"/>
      <c r="R18" s="1" t="n"/>
    </row>
    <row r="19" ht="17" customHeight="1" thickBot="1">
      <c r="F19" s="22" t="n">
        <v>0</v>
      </c>
      <c r="G19" s="22" t="n">
        <v>0</v>
      </c>
      <c r="H19" s="22" t="n">
        <v>0</v>
      </c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6">
      <c r="F26" t="n">
        <v>0</v>
      </c>
      <c r="G26" t="n">
        <v>0</v>
      </c>
    </row>
  </sheetData>
  <mergeCells count="6">
    <mergeCell ref="F17:H17"/>
    <mergeCell ref="N5:O5"/>
    <mergeCell ref="J8:K8"/>
    <mergeCell ref="G3:I4"/>
    <mergeCell ref="N13:O13"/>
    <mergeCell ref="J9:K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10" defaultRowHeight="16"/>
  <sheetData>
    <row r="1">
      <c r="Q1" s="1" t="n"/>
      <c r="R1" s="1" t="n"/>
    </row>
    <row r="2">
      <c r="Q2" s="1" t="n"/>
      <c r="R2" s="1" t="n"/>
    </row>
    <row r="3">
      <c r="G3" s="2" t="inlineStr">
        <is>
          <t>Отчёт: 23.03.2026</t>
        </is>
      </c>
      <c r="O3" t="inlineStr">
        <is>
          <t> </t>
        </is>
      </c>
      <c r="Q3" s="1" t="n"/>
      <c r="R3" s="1" t="n"/>
    </row>
    <row r="4">
      <c r="Q4" s="1" t="n"/>
      <c r="R4" s="1" t="n"/>
    </row>
    <row r="5" ht="17" customHeight="1" thickBot="1">
      <c r="N5" s="3" t="inlineStr">
        <is>
          <t>12/27</t>
        </is>
      </c>
      <c r="O5" s="23" t="n"/>
      <c r="Q5" s="1" t="n"/>
      <c r="R5" s="1" t="n"/>
    </row>
    <row r="6" ht="17" customHeight="1" thickBot="1">
      <c r="E6" s="4" t="n"/>
      <c r="F6" s="4" t="inlineStr">
        <is>
          <t>Б</t>
        </is>
      </c>
      <c r="G6" s="4" t="inlineStr">
        <is>
          <t>А</t>
        </is>
      </c>
      <c r="I6" s="4" t="n"/>
      <c r="J6" s="4" t="inlineStr">
        <is>
          <t>Эксп Китай</t>
        </is>
      </c>
      <c r="K6" s="4" t="inlineStr">
        <is>
          <t>Эксп Турция</t>
        </is>
      </c>
      <c r="M6" s="4" t="inlineStr">
        <is>
          <t>37х87х2,95</t>
        </is>
      </c>
      <c r="N6" s="4" t="inlineStr">
        <is>
          <t>Китай Б</t>
        </is>
      </c>
      <c r="O6" s="4" t="inlineStr">
        <is>
          <t>Китай А</t>
        </is>
      </c>
      <c r="P6" s="4" t="inlineStr">
        <is>
          <t>Китай Малые</t>
        </is>
      </c>
      <c r="Q6" s="1" t="n"/>
      <c r="R6" s="1" t="n"/>
    </row>
    <row r="7" ht="17" customHeight="1" thickBot="1">
      <c r="E7" s="5" t="inlineStr">
        <is>
          <t>Куб. м.</t>
        </is>
      </c>
      <c r="F7" s="6">
        <f>N8+N10+N16+N18+P15</f>
        <v/>
      </c>
      <c r="G7" s="6">
        <f>O8+P8+O10</f>
        <v/>
      </c>
      <c r="I7" s="5" t="inlineStr">
        <is>
          <t>Куб. м.</t>
        </is>
      </c>
      <c r="J7" s="6">
        <f>N8+P8+O8</f>
        <v/>
      </c>
      <c r="K7" s="6">
        <f>N16+O16+P16</f>
        <v/>
      </c>
      <c r="M7" s="5" t="inlineStr">
        <is>
          <t>Кол-во пак.</t>
        </is>
      </c>
      <c r="N7" s="6" t="n">
        <v>0</v>
      </c>
      <c r="O7" s="7" t="n">
        <v>0</v>
      </c>
      <c r="P7" s="6" t="n">
        <v>0</v>
      </c>
      <c r="Q7" s="1" t="n"/>
      <c r="R7" s="1" t="n"/>
    </row>
    <row r="8" ht="17" customHeight="1" thickBot="1">
      <c r="E8" s="5" t="inlineStr">
        <is>
          <t>Лес.</t>
        </is>
      </c>
      <c r="F8" s="6">
        <f>F7*2.7</f>
        <v/>
      </c>
      <c r="G8" s="6">
        <f>G7*2.1</f>
        <v/>
      </c>
      <c r="I8" s="5" t="inlineStr">
        <is>
          <t>Отбр.</t>
        </is>
      </c>
      <c r="J8" s="24">
        <f>N10+N18+O10</f>
        <v/>
      </c>
      <c r="K8" s="25" t="n"/>
      <c r="M8" s="5" t="inlineStr">
        <is>
          <t>Куб. м.</t>
        </is>
      </c>
      <c r="N8" s="7">
        <f>N7*3.08</f>
        <v/>
      </c>
      <c r="O8" s="7">
        <f>O7*3.08</f>
        <v/>
      </c>
      <c r="P8" s="7">
        <f>P7*1.14</f>
        <v/>
      </c>
      <c r="Q8" s="1" t="n"/>
      <c r="R8" s="1" t="n">
        <v>0</v>
      </c>
    </row>
    <row r="9" ht="17" customHeight="1" thickBot="1">
      <c r="G9" s="10" t="n"/>
      <c r="I9" s="5" t="inlineStr">
        <is>
          <t>Щепа</t>
        </is>
      </c>
      <c r="J9" s="24">
        <f>F8*23%</f>
        <v/>
      </c>
      <c r="K9" s="25" t="n"/>
      <c r="M9" s="5" t="inlineStr">
        <is>
          <t>Отбр. Пак.</t>
        </is>
      </c>
      <c r="N9" s="6" t="n">
        <v>0</v>
      </c>
      <c r="O9" s="7" t="n">
        <v>0</v>
      </c>
      <c r="Q9" s="1" t="n"/>
      <c r="R9" s="1" t="n"/>
    </row>
    <row r="10" ht="17" customHeight="1" thickBot="1">
      <c r="M10" s="5" t="inlineStr">
        <is>
          <t>Отбр. Куб.</t>
        </is>
      </c>
      <c r="N10" s="7">
        <f>3*N9</f>
        <v/>
      </c>
      <c r="O10" s="7">
        <f>3*O9</f>
        <v/>
      </c>
      <c r="Q10" s="1" t="n"/>
      <c r="R10" s="1" t="n"/>
    </row>
    <row r="11" ht="17" customHeight="1" thickBot="1">
      <c r="Q11" s="1" t="n"/>
      <c r="R11" s="1" t="n"/>
    </row>
    <row r="12" ht="17" customHeight="1" thickBot="1">
      <c r="E12" s="11" t="n"/>
      <c r="F12" s="11" t="inlineStr">
        <is>
          <t>Акула</t>
        </is>
      </c>
      <c r="Q12" s="1" t="n"/>
      <c r="R12" s="1" t="n"/>
    </row>
    <row r="13" ht="17" customHeight="1" thickBot="1">
      <c r="E13" s="12" t="inlineStr">
        <is>
          <t>куб.м.</t>
        </is>
      </c>
      <c r="F13" s="13">
        <f>F26+G26</f>
        <v/>
      </c>
      <c r="G13" s="14" t="n"/>
      <c r="N13" s="15" t="n"/>
      <c r="O13" s="23" t="n"/>
      <c r="Q13" s="1" t="n"/>
      <c r="R13" s="1" t="n"/>
    </row>
    <row r="14" ht="17" customHeight="1" thickBot="1">
      <c r="E14" s="12" t="inlineStr">
        <is>
          <t>лес</t>
        </is>
      </c>
      <c r="F14" s="13">
        <f>2.1*F13</f>
        <v/>
      </c>
      <c r="G14" s="14" t="n"/>
      <c r="M14" s="4" t="inlineStr">
        <is>
          <t>43х93х3,02</t>
        </is>
      </c>
      <c r="N14" s="4" t="inlineStr">
        <is>
          <t>Турция Б</t>
        </is>
      </c>
      <c r="O14" s="4" t="inlineStr">
        <is>
          <t>Турция А</t>
        </is>
      </c>
      <c r="P14" s="4" t="inlineStr">
        <is>
          <t>Турция Малые</t>
        </is>
      </c>
      <c r="Q14" s="1" t="n"/>
      <c r="R14" s="1" t="n"/>
    </row>
    <row r="15" ht="17" customHeight="1" thickBot="1">
      <c r="E15" s="16" t="n"/>
      <c r="F15" s="17" t="n"/>
      <c r="G15" s="18" t="n"/>
      <c r="M15" s="4" t="inlineStr">
        <is>
          <t>Кол-во пак.</t>
        </is>
      </c>
      <c r="N15" s="7" t="n"/>
      <c r="O15" s="7" t="n"/>
      <c r="P15" s="7" t="n"/>
      <c r="Q15" s="1" t="n"/>
      <c r="R15" s="1" t="n"/>
    </row>
    <row r="16" ht="17" customHeight="1" thickBot="1">
      <c r="E16" s="19" t="n"/>
      <c r="F16" s="19" t="n"/>
      <c r="G16" s="19" t="n"/>
      <c r="I16" t="inlineStr">
        <is>
          <t> </t>
        </is>
      </c>
      <c r="M16" s="4" t="inlineStr">
        <is>
          <t>Куб.м.</t>
        </is>
      </c>
      <c r="N16" s="7">
        <f>N15*2.17</f>
        <v/>
      </c>
      <c r="O16" s="7" t="n"/>
      <c r="P16" s="7">
        <f>P15*1.3</f>
        <v/>
      </c>
      <c r="Q16" s="1" t="n"/>
      <c r="R16" s="1" t="n"/>
    </row>
    <row r="17" ht="17" customHeight="1" thickBot="1">
      <c r="F17" s="20" t="inlineStr">
        <is>
          <t>Склад, кол-во пачек</t>
        </is>
      </c>
      <c r="G17" s="26" t="n"/>
      <c r="H17" s="25" t="n"/>
      <c r="M17" s="4" t="inlineStr">
        <is>
          <t>Отбр. Пак.</t>
        </is>
      </c>
      <c r="N17" s="7" t="n"/>
      <c r="O17" s="7" t="n"/>
      <c r="Q17" s="1" t="n"/>
      <c r="R17" s="1" t="n"/>
    </row>
    <row r="18" ht="17" customHeight="1" thickBot="1">
      <c r="F18" s="21" t="inlineStr">
        <is>
          <t>Экспорт</t>
        </is>
      </c>
      <c r="G18" s="21" t="inlineStr">
        <is>
          <t>Кавказ</t>
        </is>
      </c>
      <c r="H18" s="21" t="inlineStr">
        <is>
          <t>Отбраковка</t>
        </is>
      </c>
      <c r="M18" s="4" t="inlineStr">
        <is>
          <t>Отбр. Куб.</t>
        </is>
      </c>
      <c r="N18" s="7">
        <f>N17*2.203</f>
        <v/>
      </c>
      <c r="O18" s="7" t="n"/>
      <c r="Q18" s="1" t="n"/>
      <c r="R18" s="1" t="n"/>
    </row>
    <row r="19" ht="17" customHeight="1" thickBot="1">
      <c r="F19" s="22" t="n">
        <v>0</v>
      </c>
      <c r="G19" s="22" t="n">
        <v>0</v>
      </c>
      <c r="H19" s="22" t="n">
        <v>0</v>
      </c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6">
      <c r="F26" t="n">
        <v>0</v>
      </c>
      <c r="G26" t="n">
        <v>0</v>
      </c>
    </row>
  </sheetData>
  <mergeCells count="6">
    <mergeCell ref="F17:H17"/>
    <mergeCell ref="N5:O5"/>
    <mergeCell ref="J8:K8"/>
    <mergeCell ref="G3:I4"/>
    <mergeCell ref="N13:O13"/>
    <mergeCell ref="J9:K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10" defaultRowHeight="16"/>
  <sheetData>
    <row r="1">
      <c r="Q1" s="1" t="n"/>
      <c r="R1" s="1" t="n"/>
    </row>
    <row r="2">
      <c r="Q2" s="1" t="n"/>
      <c r="R2" s="1" t="n"/>
    </row>
    <row r="3">
      <c r="G3" s="2" t="inlineStr">
        <is>
          <t>Отчёт: 26.03.2026</t>
        </is>
      </c>
      <c r="O3" t="inlineStr">
        <is>
          <t> </t>
        </is>
      </c>
      <c r="Q3" s="1" t="n"/>
      <c r="R3" s="1" t="n"/>
    </row>
    <row r="4">
      <c r="Q4" s="1" t="n"/>
      <c r="R4" s="1" t="n"/>
    </row>
    <row r="5" ht="17" customHeight="1" thickBot="1">
      <c r="N5" s="3" t="inlineStr">
        <is>
          <t>12/27</t>
        </is>
      </c>
      <c r="O5" s="23" t="n"/>
      <c r="Q5" s="1" t="n"/>
      <c r="R5" s="1" t="n"/>
    </row>
    <row r="6" ht="17" customHeight="1" thickBot="1">
      <c r="E6" s="4" t="n"/>
      <c r="F6" s="4" t="inlineStr">
        <is>
          <t>Б</t>
        </is>
      </c>
      <c r="G6" s="4" t="inlineStr">
        <is>
          <t>А</t>
        </is>
      </c>
      <c r="I6" s="4" t="n"/>
      <c r="J6" s="4" t="inlineStr">
        <is>
          <t>Эксп Китай</t>
        </is>
      </c>
      <c r="K6" s="4" t="inlineStr">
        <is>
          <t>Эксп Турция</t>
        </is>
      </c>
      <c r="M6" s="4" t="inlineStr">
        <is>
          <t>37х87х2,95</t>
        </is>
      </c>
      <c r="N6" s="4" t="inlineStr">
        <is>
          <t>Китай Б</t>
        </is>
      </c>
      <c r="O6" s="4" t="inlineStr">
        <is>
          <t>Китай А</t>
        </is>
      </c>
      <c r="P6" s="4" t="inlineStr">
        <is>
          <t>Китай Малые</t>
        </is>
      </c>
      <c r="Q6" s="1" t="n"/>
      <c r="R6" s="1" t="n"/>
    </row>
    <row r="7" ht="17" customHeight="1" thickBot="1">
      <c r="E7" s="5" t="inlineStr">
        <is>
          <t>Куб. м.</t>
        </is>
      </c>
      <c r="F7" s="6">
        <f>N8+N10+N16+N18+P15</f>
        <v/>
      </c>
      <c r="G7" s="6">
        <f>O8+P8+O10</f>
        <v/>
      </c>
      <c r="I7" s="5" t="inlineStr">
        <is>
          <t>Куб. м.</t>
        </is>
      </c>
      <c r="J7" s="6">
        <f>N8+P8+O8</f>
        <v/>
      </c>
      <c r="K7" s="6">
        <f>N16+O16+P16</f>
        <v/>
      </c>
      <c r="M7" s="5" t="inlineStr">
        <is>
          <t>Кол-во пак.</t>
        </is>
      </c>
      <c r="N7" s="6" t="n">
        <v>0</v>
      </c>
      <c r="O7" s="7" t="n">
        <v>0</v>
      </c>
      <c r="P7" s="6" t="n">
        <v>0</v>
      </c>
      <c r="Q7" s="1" t="n"/>
      <c r="R7" s="1" t="n"/>
    </row>
    <row r="8" ht="17" customHeight="1" thickBot="1">
      <c r="E8" s="5" t="inlineStr">
        <is>
          <t>Лес.</t>
        </is>
      </c>
      <c r="F8" s="6">
        <f>F7*2.7</f>
        <v/>
      </c>
      <c r="G8" s="6">
        <f>G7*2.1</f>
        <v/>
      </c>
      <c r="I8" s="5" t="inlineStr">
        <is>
          <t>Отбр.</t>
        </is>
      </c>
      <c r="J8" s="24">
        <f>N10+N18+O10</f>
        <v/>
      </c>
      <c r="K8" s="25" t="n"/>
      <c r="M8" s="5" t="inlineStr">
        <is>
          <t>Куб. м.</t>
        </is>
      </c>
      <c r="N8" s="7">
        <f>N7*3.08</f>
        <v/>
      </c>
      <c r="O8" s="7">
        <f>O7*3.08</f>
        <v/>
      </c>
      <c r="P8" s="7">
        <f>P7*1.14</f>
        <v/>
      </c>
      <c r="Q8" s="1" t="n"/>
      <c r="R8" s="1" t="n">
        <v>0</v>
      </c>
    </row>
    <row r="9" ht="17" customHeight="1" thickBot="1">
      <c r="G9" s="10" t="n"/>
      <c r="I9" s="5" t="inlineStr">
        <is>
          <t>Щепа</t>
        </is>
      </c>
      <c r="J9" s="24">
        <f>F8*23%</f>
        <v/>
      </c>
      <c r="K9" s="25" t="n"/>
      <c r="M9" s="5" t="inlineStr">
        <is>
          <t>Отбр. Пак.</t>
        </is>
      </c>
      <c r="N9" s="6" t="n">
        <v>0</v>
      </c>
      <c r="O9" s="7" t="n">
        <v>0</v>
      </c>
      <c r="Q9" s="1" t="n"/>
      <c r="R9" s="1" t="n"/>
    </row>
    <row r="10" ht="17" customHeight="1" thickBot="1">
      <c r="M10" s="5" t="inlineStr">
        <is>
          <t>Отбр. Куб.</t>
        </is>
      </c>
      <c r="N10" s="7">
        <f>3*N9</f>
        <v/>
      </c>
      <c r="O10" s="7">
        <f>3*O9</f>
        <v/>
      </c>
      <c r="Q10" s="1" t="n"/>
      <c r="R10" s="1" t="n"/>
    </row>
    <row r="11" ht="17" customHeight="1" thickBot="1">
      <c r="Q11" s="1" t="n"/>
      <c r="R11" s="1" t="n"/>
    </row>
    <row r="12" ht="17" customHeight="1" thickBot="1">
      <c r="E12" s="11" t="n"/>
      <c r="F12" s="11" t="inlineStr">
        <is>
          <t>Акула</t>
        </is>
      </c>
      <c r="Q12" s="1" t="n"/>
      <c r="R12" s="1" t="n"/>
    </row>
    <row r="13" ht="17" customHeight="1" thickBot="1">
      <c r="E13" s="12" t="inlineStr">
        <is>
          <t>куб.м.</t>
        </is>
      </c>
      <c r="F13" s="13">
        <f>F26+G26</f>
        <v/>
      </c>
      <c r="G13" s="14" t="n"/>
      <c r="N13" s="15" t="n"/>
      <c r="O13" s="23" t="n"/>
      <c r="Q13" s="1" t="n"/>
      <c r="R13" s="1" t="n"/>
    </row>
    <row r="14" ht="17" customHeight="1" thickBot="1">
      <c r="E14" s="12" t="inlineStr">
        <is>
          <t>лес</t>
        </is>
      </c>
      <c r="F14" s="13">
        <f>2.1*F13</f>
        <v/>
      </c>
      <c r="G14" s="14" t="n"/>
      <c r="M14" s="4" t="inlineStr">
        <is>
          <t>43х93х3,02</t>
        </is>
      </c>
      <c r="N14" s="4" t="inlineStr">
        <is>
          <t>Турция Б</t>
        </is>
      </c>
      <c r="O14" s="4" t="inlineStr">
        <is>
          <t>Турция А</t>
        </is>
      </c>
      <c r="P14" s="4" t="inlineStr">
        <is>
          <t>Турция Малые</t>
        </is>
      </c>
      <c r="Q14" s="1" t="n"/>
      <c r="R14" s="1" t="n"/>
    </row>
    <row r="15" ht="17" customHeight="1" thickBot="1">
      <c r="E15" s="16" t="n"/>
      <c r="F15" s="17" t="n"/>
      <c r="G15" s="18" t="n"/>
      <c r="M15" s="4" t="inlineStr">
        <is>
          <t>Кол-во пак.</t>
        </is>
      </c>
      <c r="N15" s="7" t="n"/>
      <c r="O15" s="7" t="n"/>
      <c r="P15" s="7" t="n"/>
      <c r="Q15" s="1" t="n"/>
      <c r="R15" s="1" t="n"/>
    </row>
    <row r="16" ht="17" customHeight="1" thickBot="1">
      <c r="E16" s="19" t="n"/>
      <c r="F16" s="19" t="n"/>
      <c r="G16" s="19" t="n"/>
      <c r="I16" t="inlineStr">
        <is>
          <t> </t>
        </is>
      </c>
      <c r="M16" s="4" t="inlineStr">
        <is>
          <t>Куб.м.</t>
        </is>
      </c>
      <c r="N16" s="7">
        <f>N15*2.17</f>
        <v/>
      </c>
      <c r="O16" s="7" t="n"/>
      <c r="P16" s="7">
        <f>P15*1.3</f>
        <v/>
      </c>
      <c r="Q16" s="1" t="n"/>
      <c r="R16" s="1" t="n"/>
    </row>
    <row r="17" ht="17" customHeight="1" thickBot="1">
      <c r="F17" s="20" t="inlineStr">
        <is>
          <t>Склад, кол-во пачек</t>
        </is>
      </c>
      <c r="G17" s="26" t="n"/>
      <c r="H17" s="25" t="n"/>
      <c r="M17" s="4" t="inlineStr">
        <is>
          <t>Отбр. Пак.</t>
        </is>
      </c>
      <c r="N17" s="7" t="n"/>
      <c r="O17" s="7" t="n"/>
      <c r="Q17" s="1" t="n"/>
      <c r="R17" s="1" t="n"/>
    </row>
    <row r="18" ht="17" customHeight="1" thickBot="1">
      <c r="F18" s="21" t="inlineStr">
        <is>
          <t>Экспорт</t>
        </is>
      </c>
      <c r="G18" s="21" t="inlineStr">
        <is>
          <t>Кавказ</t>
        </is>
      </c>
      <c r="H18" s="21" t="inlineStr">
        <is>
          <t>Отбраковка</t>
        </is>
      </c>
      <c r="M18" s="4" t="inlineStr">
        <is>
          <t>Отбр. Куб.</t>
        </is>
      </c>
      <c r="N18" s="7">
        <f>N17*2.203</f>
        <v/>
      </c>
      <c r="O18" s="7" t="n"/>
      <c r="Q18" s="1" t="n"/>
      <c r="R18" s="1" t="n"/>
    </row>
    <row r="19" ht="17" customHeight="1" thickBot="1">
      <c r="F19" s="22" t="n">
        <v>0</v>
      </c>
      <c r="G19" s="22" t="n">
        <v>0</v>
      </c>
      <c r="H19" s="22" t="n">
        <v>0</v>
      </c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6">
      <c r="F26" t="n">
        <v>0</v>
      </c>
      <c r="G26" t="n">
        <v>0</v>
      </c>
    </row>
  </sheetData>
  <mergeCells count="6">
    <mergeCell ref="F17:H17"/>
    <mergeCell ref="N5:O5"/>
    <mergeCell ref="J8:K8"/>
    <mergeCell ref="G3:I4"/>
    <mergeCell ref="N13:O13"/>
    <mergeCell ref="J9:K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10" defaultRowHeight="16"/>
  <sheetData>
    <row r="1">
      <c r="Q1" s="1" t="n"/>
      <c r="R1" s="1" t="n"/>
    </row>
    <row r="2">
      <c r="Q2" s="1" t="n"/>
      <c r="R2" s="1" t="n"/>
    </row>
    <row r="3">
      <c r="G3" s="2" t="inlineStr">
        <is>
          <t>Отчёт: 27.03.2026</t>
        </is>
      </c>
      <c r="O3" t="inlineStr">
        <is>
          <t> </t>
        </is>
      </c>
      <c r="Q3" s="1" t="n"/>
      <c r="R3" s="1" t="n"/>
    </row>
    <row r="4">
      <c r="Q4" s="1" t="n"/>
      <c r="R4" s="1" t="n"/>
    </row>
    <row r="5" ht="17" customHeight="1" thickBot="1">
      <c r="N5" s="3" t="inlineStr">
        <is>
          <t>12/27</t>
        </is>
      </c>
      <c r="O5" s="23" t="n"/>
      <c r="Q5" s="1" t="n"/>
      <c r="R5" s="1" t="n"/>
    </row>
    <row r="6" ht="17" customHeight="1" thickBot="1">
      <c r="E6" s="4" t="n"/>
      <c r="F6" s="4" t="inlineStr">
        <is>
          <t>Б</t>
        </is>
      </c>
      <c r="G6" s="4" t="inlineStr">
        <is>
          <t>А</t>
        </is>
      </c>
      <c r="I6" s="4" t="n"/>
      <c r="J6" s="4" t="inlineStr">
        <is>
          <t>Эксп Китай</t>
        </is>
      </c>
      <c r="K6" s="4" t="inlineStr">
        <is>
          <t>Эксп Турция</t>
        </is>
      </c>
      <c r="M6" s="4" t="inlineStr">
        <is>
          <t>37х87х2,95</t>
        </is>
      </c>
      <c r="N6" s="4" t="inlineStr">
        <is>
          <t>Китай Б</t>
        </is>
      </c>
      <c r="O6" s="4" t="inlineStr">
        <is>
          <t>Китай А</t>
        </is>
      </c>
      <c r="P6" s="4" t="inlineStr">
        <is>
          <t>Китай Малые</t>
        </is>
      </c>
      <c r="Q6" s="1" t="n"/>
      <c r="R6" s="1" t="n"/>
    </row>
    <row r="7" ht="17" customHeight="1" thickBot="1">
      <c r="E7" s="5" t="inlineStr">
        <is>
          <t>Куб. м.</t>
        </is>
      </c>
      <c r="F7" s="6">
        <f>N8+N10+N16+N18+P15</f>
        <v/>
      </c>
      <c r="G7" s="6">
        <f>O8+P8+O10</f>
        <v/>
      </c>
      <c r="I7" s="5" t="inlineStr">
        <is>
          <t>Куб. м.</t>
        </is>
      </c>
      <c r="J7" s="6">
        <f>N8+P8+O8</f>
        <v/>
      </c>
      <c r="K7" s="6">
        <f>N16+O16+P16</f>
        <v/>
      </c>
      <c r="M7" s="5" t="inlineStr">
        <is>
          <t>Кол-во пак.</t>
        </is>
      </c>
      <c r="N7" s="6" t="n">
        <v>0</v>
      </c>
      <c r="O7" s="7" t="n">
        <v>0</v>
      </c>
      <c r="P7" s="6" t="n">
        <v>0</v>
      </c>
      <c r="Q7" s="1" t="n"/>
      <c r="R7" s="1" t="n"/>
    </row>
    <row r="8" ht="17" customHeight="1" thickBot="1">
      <c r="E8" s="5" t="inlineStr">
        <is>
          <t>Лес.</t>
        </is>
      </c>
      <c r="F8" s="6">
        <f>F7*2.7</f>
        <v/>
      </c>
      <c r="G8" s="6">
        <f>G7*2.1</f>
        <v/>
      </c>
      <c r="I8" s="5" t="inlineStr">
        <is>
          <t>Отбр.</t>
        </is>
      </c>
      <c r="J8" s="24">
        <f>N10+N18+O10</f>
        <v/>
      </c>
      <c r="K8" s="25" t="n"/>
      <c r="M8" s="5" t="inlineStr">
        <is>
          <t>Куб. м.</t>
        </is>
      </c>
      <c r="N8" s="7">
        <f>N7*3.08</f>
        <v/>
      </c>
      <c r="O8" s="7">
        <f>O7*3.08</f>
        <v/>
      </c>
      <c r="P8" s="7">
        <f>P7*1.14</f>
        <v/>
      </c>
      <c r="Q8" s="1" t="n"/>
      <c r="R8" s="1" t="n">
        <v>0</v>
      </c>
    </row>
    <row r="9" ht="17" customHeight="1" thickBot="1">
      <c r="G9" s="10" t="n"/>
      <c r="I9" s="5" t="inlineStr">
        <is>
          <t>Щепа</t>
        </is>
      </c>
      <c r="J9" s="24">
        <f>F8*23%</f>
        <v/>
      </c>
      <c r="K9" s="25" t="n"/>
      <c r="M9" s="5" t="inlineStr">
        <is>
          <t>Отбр. Пак.</t>
        </is>
      </c>
      <c r="N9" s="6" t="n">
        <v>0</v>
      </c>
      <c r="O9" s="7" t="n">
        <v>0</v>
      </c>
      <c r="Q9" s="1" t="n"/>
      <c r="R9" s="1" t="n"/>
    </row>
    <row r="10" ht="17" customHeight="1" thickBot="1">
      <c r="M10" s="5" t="inlineStr">
        <is>
          <t>Отбр. Куб.</t>
        </is>
      </c>
      <c r="N10" s="7">
        <f>3*N9</f>
        <v/>
      </c>
      <c r="O10" s="7">
        <f>3*O9</f>
        <v/>
      </c>
      <c r="Q10" s="1" t="n"/>
      <c r="R10" s="1" t="n"/>
    </row>
    <row r="11" ht="17" customHeight="1" thickBot="1">
      <c r="Q11" s="1" t="n"/>
      <c r="R11" s="1" t="n"/>
    </row>
    <row r="12" ht="17" customHeight="1" thickBot="1">
      <c r="E12" s="11" t="n"/>
      <c r="F12" s="11" t="inlineStr">
        <is>
          <t>Акула</t>
        </is>
      </c>
      <c r="Q12" s="1" t="n"/>
      <c r="R12" s="1" t="n"/>
    </row>
    <row r="13" ht="17" customHeight="1" thickBot="1">
      <c r="E13" s="12" t="inlineStr">
        <is>
          <t>куб.м.</t>
        </is>
      </c>
      <c r="F13" s="13">
        <f>F26+G26</f>
        <v/>
      </c>
      <c r="G13" s="14" t="n"/>
      <c r="N13" s="15" t="n"/>
      <c r="O13" s="23" t="n"/>
      <c r="Q13" s="1" t="n"/>
      <c r="R13" s="1" t="n"/>
    </row>
    <row r="14" ht="17" customHeight="1" thickBot="1">
      <c r="E14" s="12" t="inlineStr">
        <is>
          <t>лес</t>
        </is>
      </c>
      <c r="F14" s="13">
        <f>2.1*F13</f>
        <v/>
      </c>
      <c r="G14" s="14" t="n"/>
      <c r="M14" s="4" t="inlineStr">
        <is>
          <t>43х93х3,02</t>
        </is>
      </c>
      <c r="N14" s="4" t="inlineStr">
        <is>
          <t>Турция Б</t>
        </is>
      </c>
      <c r="O14" s="4" t="inlineStr">
        <is>
          <t>Турция А</t>
        </is>
      </c>
      <c r="P14" s="4" t="inlineStr">
        <is>
          <t>Турция Малые</t>
        </is>
      </c>
      <c r="Q14" s="1" t="n"/>
      <c r="R14" s="1" t="n"/>
    </row>
    <row r="15" ht="17" customHeight="1" thickBot="1">
      <c r="E15" s="16" t="n"/>
      <c r="F15" s="17" t="n"/>
      <c r="G15" s="18" t="n"/>
      <c r="M15" s="4" t="inlineStr">
        <is>
          <t>Кол-во пак.</t>
        </is>
      </c>
      <c r="N15" s="7" t="n"/>
      <c r="O15" s="7" t="n"/>
      <c r="P15" s="7" t="n"/>
      <c r="Q15" s="1" t="n"/>
      <c r="R15" s="1" t="n"/>
    </row>
    <row r="16" ht="17" customHeight="1" thickBot="1">
      <c r="E16" s="19" t="n"/>
      <c r="F16" s="19" t="n"/>
      <c r="G16" s="19" t="n"/>
      <c r="I16" t="inlineStr">
        <is>
          <t> </t>
        </is>
      </c>
      <c r="M16" s="4" t="inlineStr">
        <is>
          <t>Куб.м.</t>
        </is>
      </c>
      <c r="N16" s="7">
        <f>N15*2.17</f>
        <v/>
      </c>
      <c r="O16" s="7" t="n"/>
      <c r="P16" s="7">
        <f>P15*1.3</f>
        <v/>
      </c>
      <c r="Q16" s="1" t="n"/>
      <c r="R16" s="1" t="n"/>
    </row>
    <row r="17" ht="17" customHeight="1" thickBot="1">
      <c r="F17" s="20" t="inlineStr">
        <is>
          <t>Склад, кол-во пачек</t>
        </is>
      </c>
      <c r="G17" s="26" t="n"/>
      <c r="H17" s="25" t="n"/>
      <c r="M17" s="4" t="inlineStr">
        <is>
          <t>Отбр. Пак.</t>
        </is>
      </c>
      <c r="N17" s="7" t="n"/>
      <c r="O17" s="7" t="n"/>
      <c r="Q17" s="1" t="n"/>
      <c r="R17" s="1" t="n"/>
    </row>
    <row r="18" ht="17" customHeight="1" thickBot="1">
      <c r="F18" s="21" t="inlineStr">
        <is>
          <t>Экспорт</t>
        </is>
      </c>
      <c r="G18" s="21" t="inlineStr">
        <is>
          <t>Кавказ</t>
        </is>
      </c>
      <c r="H18" s="21" t="inlineStr">
        <is>
          <t>Отбраковка</t>
        </is>
      </c>
      <c r="M18" s="4" t="inlineStr">
        <is>
          <t>Отбр. Куб.</t>
        </is>
      </c>
      <c r="N18" s="7">
        <f>N17*2.203</f>
        <v/>
      </c>
      <c r="O18" s="7" t="n"/>
      <c r="Q18" s="1" t="n"/>
      <c r="R18" s="1" t="n"/>
    </row>
    <row r="19" ht="17" customHeight="1" thickBot="1">
      <c r="F19" s="22" t="n">
        <v>0</v>
      </c>
      <c r="G19" s="22" t="n">
        <v>0</v>
      </c>
      <c r="H19" s="22" t="n">
        <v>0</v>
      </c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6">
      <c r="F26" t="n">
        <v>0</v>
      </c>
      <c r="G26" t="n">
        <v>0</v>
      </c>
    </row>
  </sheetData>
  <mergeCells count="6">
    <mergeCell ref="F17:H17"/>
    <mergeCell ref="N5:O5"/>
    <mergeCell ref="J8:K8"/>
    <mergeCell ref="G3:I4"/>
    <mergeCell ref="N13:O13"/>
    <mergeCell ref="J9:K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10" defaultRowHeight="16"/>
  <sheetData>
    <row r="1">
      <c r="Q1" s="1" t="n"/>
      <c r="R1" s="1" t="n"/>
    </row>
    <row r="2">
      <c r="Q2" s="1" t="n"/>
      <c r="R2" s="1" t="n"/>
    </row>
    <row r="3">
      <c r="G3" s="2" t="inlineStr">
        <is>
          <t>Отчёт: 30.03.2026</t>
        </is>
      </c>
      <c r="O3" t="inlineStr">
        <is>
          <t> </t>
        </is>
      </c>
      <c r="Q3" s="1" t="n"/>
      <c r="R3" s="1" t="n"/>
    </row>
    <row r="4">
      <c r="Q4" s="1" t="n"/>
      <c r="R4" s="1" t="n"/>
    </row>
    <row r="5" ht="17" customHeight="1" thickBot="1">
      <c r="N5" s="3" t="inlineStr">
        <is>
          <t>12/27</t>
        </is>
      </c>
      <c r="O5" s="23" t="n"/>
      <c r="Q5" s="1" t="n"/>
      <c r="R5" s="1" t="n"/>
    </row>
    <row r="6" ht="17" customHeight="1" thickBot="1">
      <c r="E6" s="4" t="n"/>
      <c r="F6" s="4" t="inlineStr">
        <is>
          <t>Б</t>
        </is>
      </c>
      <c r="G6" s="4" t="inlineStr">
        <is>
          <t>А</t>
        </is>
      </c>
      <c r="I6" s="4" t="n"/>
      <c r="J6" s="4" t="inlineStr">
        <is>
          <t>Эксп Китай</t>
        </is>
      </c>
      <c r="K6" s="4" t="inlineStr">
        <is>
          <t>Эксп Турция</t>
        </is>
      </c>
      <c r="M6" s="4" t="inlineStr">
        <is>
          <t>37х87х2,95</t>
        </is>
      </c>
      <c r="N6" s="4" t="inlineStr">
        <is>
          <t>Китай Б</t>
        </is>
      </c>
      <c r="O6" s="4" t="inlineStr">
        <is>
          <t>Китай А</t>
        </is>
      </c>
      <c r="P6" s="4" t="inlineStr">
        <is>
          <t>Китай Малые</t>
        </is>
      </c>
      <c r="Q6" s="1" t="n"/>
      <c r="R6" s="1" t="n"/>
    </row>
    <row r="7" ht="17" customHeight="1" thickBot="1">
      <c r="E7" s="5" t="inlineStr">
        <is>
          <t>Куб. м.</t>
        </is>
      </c>
      <c r="F7" s="6">
        <f>N8+N10+N16+N18+P15</f>
        <v/>
      </c>
      <c r="G7" s="6">
        <f>O8+P8+O10</f>
        <v/>
      </c>
      <c r="I7" s="5" t="inlineStr">
        <is>
          <t>Куб. м.</t>
        </is>
      </c>
      <c r="J7" s="6">
        <f>N8+P8+O8</f>
        <v/>
      </c>
      <c r="K7" s="6">
        <f>N16+O16+P16</f>
        <v/>
      </c>
      <c r="M7" s="5" t="inlineStr">
        <is>
          <t>Кол-во пак.</t>
        </is>
      </c>
      <c r="N7" s="6" t="n">
        <v>0</v>
      </c>
      <c r="O7" s="7" t="n">
        <v>0</v>
      </c>
      <c r="P7" s="6" t="n">
        <v>0</v>
      </c>
      <c r="Q7" s="1" t="n"/>
      <c r="R7" s="1" t="n"/>
    </row>
    <row r="8" ht="17" customHeight="1" thickBot="1">
      <c r="E8" s="5" t="inlineStr">
        <is>
          <t>Лес.</t>
        </is>
      </c>
      <c r="F8" s="6">
        <f>F7*2.7</f>
        <v/>
      </c>
      <c r="G8" s="6">
        <f>G7*2.1</f>
        <v/>
      </c>
      <c r="I8" s="5" t="inlineStr">
        <is>
          <t>Отбр.</t>
        </is>
      </c>
      <c r="J8" s="24">
        <f>N10+N18+O10</f>
        <v/>
      </c>
      <c r="K8" s="25" t="n"/>
      <c r="M8" s="5" t="inlineStr">
        <is>
          <t>Куб. м.</t>
        </is>
      </c>
      <c r="N8" s="7">
        <f>N7*3.08</f>
        <v/>
      </c>
      <c r="O8" s="7">
        <f>O7*3.08</f>
        <v/>
      </c>
      <c r="P8" s="7">
        <f>P7*1.14</f>
        <v/>
      </c>
      <c r="Q8" s="1" t="n"/>
      <c r="R8" s="1" t="n">
        <v>0</v>
      </c>
    </row>
    <row r="9" ht="17" customHeight="1" thickBot="1">
      <c r="G9" s="10" t="n"/>
      <c r="I9" s="5" t="inlineStr">
        <is>
          <t>Щепа</t>
        </is>
      </c>
      <c r="J9" s="24">
        <f>F8*23%</f>
        <v/>
      </c>
      <c r="K9" s="25" t="n"/>
      <c r="M9" s="5" t="inlineStr">
        <is>
          <t>Отбр. Пак.</t>
        </is>
      </c>
      <c r="N9" s="6" t="n">
        <v>0</v>
      </c>
      <c r="O9" s="7" t="n">
        <v>0</v>
      </c>
      <c r="Q9" s="1" t="n"/>
      <c r="R9" s="1" t="n"/>
    </row>
    <row r="10" ht="17" customHeight="1" thickBot="1">
      <c r="M10" s="5" t="inlineStr">
        <is>
          <t>Отбр. Куб.</t>
        </is>
      </c>
      <c r="N10" s="7">
        <f>3*N9</f>
        <v/>
      </c>
      <c r="O10" s="7">
        <f>3*O9</f>
        <v/>
      </c>
      <c r="Q10" s="1" t="n"/>
      <c r="R10" s="1" t="n"/>
    </row>
    <row r="11" ht="17" customHeight="1" thickBot="1">
      <c r="Q11" s="1" t="n"/>
      <c r="R11" s="1" t="n"/>
    </row>
    <row r="12" ht="17" customHeight="1" thickBot="1">
      <c r="E12" s="11" t="n"/>
      <c r="F12" s="11" t="inlineStr">
        <is>
          <t>Акула</t>
        </is>
      </c>
      <c r="Q12" s="1" t="n"/>
      <c r="R12" s="1" t="n"/>
    </row>
    <row r="13" ht="17" customHeight="1" thickBot="1">
      <c r="E13" s="12" t="inlineStr">
        <is>
          <t>куб.м.</t>
        </is>
      </c>
      <c r="F13" s="13">
        <f>F26+G26</f>
        <v/>
      </c>
      <c r="G13" s="14" t="n"/>
      <c r="N13" s="15" t="n"/>
      <c r="O13" s="23" t="n"/>
      <c r="Q13" s="1" t="n"/>
      <c r="R13" s="1" t="n"/>
    </row>
    <row r="14" ht="17" customHeight="1" thickBot="1">
      <c r="E14" s="12" t="inlineStr">
        <is>
          <t>лес</t>
        </is>
      </c>
      <c r="F14" s="13">
        <f>2.1*F13</f>
        <v/>
      </c>
      <c r="G14" s="14" t="n"/>
      <c r="M14" s="4" t="inlineStr">
        <is>
          <t>43х93х3,02</t>
        </is>
      </c>
      <c r="N14" s="4" t="inlineStr">
        <is>
          <t>Турция Б</t>
        </is>
      </c>
      <c r="O14" s="4" t="inlineStr">
        <is>
          <t>Турция А</t>
        </is>
      </c>
      <c r="P14" s="4" t="inlineStr">
        <is>
          <t>Турция Малые</t>
        </is>
      </c>
      <c r="Q14" s="1" t="n"/>
      <c r="R14" s="1" t="n"/>
    </row>
    <row r="15" ht="17" customHeight="1" thickBot="1">
      <c r="E15" s="16" t="n"/>
      <c r="F15" s="17" t="n"/>
      <c r="G15" s="18" t="n"/>
      <c r="M15" s="4" t="inlineStr">
        <is>
          <t>Кол-во пак.</t>
        </is>
      </c>
      <c r="N15" s="7" t="n"/>
      <c r="O15" s="7" t="n"/>
      <c r="P15" s="7" t="n"/>
      <c r="Q15" s="1" t="n"/>
      <c r="R15" s="1" t="n"/>
    </row>
    <row r="16" ht="17" customHeight="1" thickBot="1">
      <c r="E16" s="19" t="n"/>
      <c r="F16" s="19" t="n"/>
      <c r="G16" s="19" t="n"/>
      <c r="I16" t="inlineStr">
        <is>
          <t> </t>
        </is>
      </c>
      <c r="M16" s="4" t="inlineStr">
        <is>
          <t>Куб.м.</t>
        </is>
      </c>
      <c r="N16" s="7">
        <f>N15*2.17</f>
        <v/>
      </c>
      <c r="O16" s="7" t="n"/>
      <c r="P16" s="7">
        <f>P15*1.3</f>
        <v/>
      </c>
      <c r="Q16" s="1" t="n"/>
      <c r="R16" s="1" t="n"/>
    </row>
    <row r="17" ht="17" customHeight="1" thickBot="1">
      <c r="F17" s="20" t="inlineStr">
        <is>
          <t>Склад, кол-во пачек</t>
        </is>
      </c>
      <c r="G17" s="26" t="n"/>
      <c r="H17" s="25" t="n"/>
      <c r="M17" s="4" t="inlineStr">
        <is>
          <t>Отбр. Пак.</t>
        </is>
      </c>
      <c r="N17" s="7" t="n"/>
      <c r="O17" s="7" t="n"/>
      <c r="Q17" s="1" t="n"/>
      <c r="R17" s="1" t="n"/>
    </row>
    <row r="18" ht="17" customHeight="1" thickBot="1">
      <c r="F18" s="21" t="inlineStr">
        <is>
          <t>Экспорт</t>
        </is>
      </c>
      <c r="G18" s="21" t="inlineStr">
        <is>
          <t>Кавказ</t>
        </is>
      </c>
      <c r="H18" s="21" t="inlineStr">
        <is>
          <t>Отбраковка</t>
        </is>
      </c>
      <c r="M18" s="4" t="inlineStr">
        <is>
          <t>Отбр. Куб.</t>
        </is>
      </c>
      <c r="N18" s="7">
        <f>N17*2.203</f>
        <v/>
      </c>
      <c r="O18" s="7" t="n"/>
      <c r="Q18" s="1" t="n"/>
      <c r="R18" s="1" t="n"/>
    </row>
    <row r="19" ht="17" customHeight="1" thickBot="1">
      <c r="F19" s="22" t="n">
        <v>0</v>
      </c>
      <c r="G19" s="22" t="n">
        <v>0</v>
      </c>
      <c r="H19" s="22" t="n">
        <v>0</v>
      </c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6">
      <c r="F26" t="n">
        <v>0</v>
      </c>
      <c r="G26" t="n">
        <v>0</v>
      </c>
    </row>
  </sheetData>
  <mergeCells count="6">
    <mergeCell ref="F17:H17"/>
    <mergeCell ref="N5:O5"/>
    <mergeCell ref="J8:K8"/>
    <mergeCell ref="G3:I4"/>
    <mergeCell ref="N13:O13"/>
    <mergeCell ref="J9:K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10" defaultRowHeight="16"/>
  <sheetData>
    <row r="1">
      <c r="Q1" s="1" t="n"/>
      <c r="R1" s="1" t="n"/>
    </row>
    <row r="2">
      <c r="Q2" s="1" t="n"/>
      <c r="R2" s="1" t="n"/>
    </row>
    <row r="3">
      <c r="G3" s="2" t="inlineStr">
        <is>
          <t>Отчёт: 31.03.2026</t>
        </is>
      </c>
      <c r="O3" t="inlineStr">
        <is>
          <t> </t>
        </is>
      </c>
      <c r="Q3" s="1" t="n"/>
      <c r="R3" s="1" t="n"/>
    </row>
    <row r="4">
      <c r="Q4" s="1" t="n"/>
      <c r="R4" s="1" t="n"/>
    </row>
    <row r="5" ht="17" customHeight="1" thickBot="1">
      <c r="N5" s="3" t="inlineStr">
        <is>
          <t>12/27</t>
        </is>
      </c>
      <c r="O5" s="23" t="n"/>
      <c r="Q5" s="1" t="n"/>
      <c r="R5" s="1" t="n"/>
    </row>
    <row r="6" ht="17" customHeight="1" thickBot="1">
      <c r="E6" s="4" t="n"/>
      <c r="F6" s="4" t="inlineStr">
        <is>
          <t>Б</t>
        </is>
      </c>
      <c r="G6" s="4" t="inlineStr">
        <is>
          <t>А</t>
        </is>
      </c>
      <c r="I6" s="4" t="n"/>
      <c r="J6" s="4" t="inlineStr">
        <is>
          <t>Эксп Китай</t>
        </is>
      </c>
      <c r="K6" s="4" t="inlineStr">
        <is>
          <t>Эксп Турция</t>
        </is>
      </c>
      <c r="M6" s="4" t="inlineStr">
        <is>
          <t>37х87х2,95</t>
        </is>
      </c>
      <c r="N6" s="4" t="inlineStr">
        <is>
          <t>Китай Б</t>
        </is>
      </c>
      <c r="O6" s="4" t="inlineStr">
        <is>
          <t>Китай А</t>
        </is>
      </c>
      <c r="P6" s="4" t="inlineStr">
        <is>
          <t>Китай Малые</t>
        </is>
      </c>
      <c r="Q6" s="1" t="n"/>
      <c r="R6" s="1" t="n"/>
    </row>
    <row r="7" ht="17" customHeight="1" thickBot="1">
      <c r="E7" s="5" t="inlineStr">
        <is>
          <t>Куб. м.</t>
        </is>
      </c>
      <c r="F7" s="6">
        <f>N8+N10+N16+N18+P15</f>
        <v/>
      </c>
      <c r="G7" s="6">
        <f>O8+P8+O10</f>
        <v/>
      </c>
      <c r="I7" s="5" t="inlineStr">
        <is>
          <t>Куб. м.</t>
        </is>
      </c>
      <c r="J7" s="6">
        <f>N8+P8+O8</f>
        <v/>
      </c>
      <c r="K7" s="6">
        <f>N16+O16+P16</f>
        <v/>
      </c>
      <c r="M7" s="5" t="inlineStr">
        <is>
          <t>Кол-во пак.</t>
        </is>
      </c>
      <c r="N7" s="6" t="n">
        <v>0</v>
      </c>
      <c r="O7" s="7" t="n">
        <v>0</v>
      </c>
      <c r="P7" s="6" t="n">
        <v>0</v>
      </c>
      <c r="Q7" s="1" t="n"/>
      <c r="R7" s="1" t="n"/>
    </row>
    <row r="8" ht="17" customHeight="1" thickBot="1">
      <c r="E8" s="5" t="inlineStr">
        <is>
          <t>Лес.</t>
        </is>
      </c>
      <c r="F8" s="6">
        <f>F7*2.7</f>
        <v/>
      </c>
      <c r="G8" s="6">
        <f>G7*2.1</f>
        <v/>
      </c>
      <c r="I8" s="5" t="inlineStr">
        <is>
          <t>Отбр.</t>
        </is>
      </c>
      <c r="J8" s="24">
        <f>N10+N18+O10</f>
        <v/>
      </c>
      <c r="K8" s="25" t="n"/>
      <c r="M8" s="5" t="inlineStr">
        <is>
          <t>Куб. м.</t>
        </is>
      </c>
      <c r="N8" s="7">
        <f>N7*3.08</f>
        <v/>
      </c>
      <c r="O8" s="7">
        <f>O7*3.08</f>
        <v/>
      </c>
      <c r="P8" s="7">
        <f>P7*1.14</f>
        <v/>
      </c>
      <c r="Q8" s="1" t="n"/>
      <c r="R8" s="1" t="n">
        <v>0</v>
      </c>
    </row>
    <row r="9" ht="17" customHeight="1" thickBot="1">
      <c r="G9" s="10" t="n"/>
      <c r="I9" s="5" t="inlineStr">
        <is>
          <t>Щепа</t>
        </is>
      </c>
      <c r="J9" s="24">
        <f>F8*23%</f>
        <v/>
      </c>
      <c r="K9" s="25" t="n"/>
      <c r="M9" s="5" t="inlineStr">
        <is>
          <t>Отбр. Пак.</t>
        </is>
      </c>
      <c r="N9" s="6" t="n">
        <v>0</v>
      </c>
      <c r="O9" s="7" t="n">
        <v>0</v>
      </c>
      <c r="Q9" s="1" t="n"/>
      <c r="R9" s="1" t="n"/>
    </row>
    <row r="10" ht="17" customHeight="1" thickBot="1">
      <c r="M10" s="5" t="inlineStr">
        <is>
          <t>Отбр. Куб.</t>
        </is>
      </c>
      <c r="N10" s="7">
        <f>3*N9</f>
        <v/>
      </c>
      <c r="O10" s="7">
        <f>3*O9</f>
        <v/>
      </c>
      <c r="Q10" s="1" t="n"/>
      <c r="R10" s="1" t="n"/>
    </row>
    <row r="11" ht="17" customHeight="1" thickBot="1">
      <c r="Q11" s="1" t="n"/>
      <c r="R11" s="1" t="n"/>
    </row>
    <row r="12" ht="17" customHeight="1" thickBot="1">
      <c r="E12" s="11" t="n"/>
      <c r="F12" s="11" t="inlineStr">
        <is>
          <t>Акула</t>
        </is>
      </c>
      <c r="Q12" s="1" t="n"/>
      <c r="R12" s="1" t="n"/>
    </row>
    <row r="13" ht="17" customHeight="1" thickBot="1">
      <c r="E13" s="12" t="inlineStr">
        <is>
          <t>куб.м.</t>
        </is>
      </c>
      <c r="F13" s="13">
        <f>F26+G26</f>
        <v/>
      </c>
      <c r="G13" s="14" t="n"/>
      <c r="N13" s="15" t="n"/>
      <c r="O13" s="23" t="n"/>
      <c r="Q13" s="1" t="n"/>
      <c r="R13" s="1" t="n"/>
    </row>
    <row r="14" ht="17" customHeight="1" thickBot="1">
      <c r="E14" s="12" t="inlineStr">
        <is>
          <t>лес</t>
        </is>
      </c>
      <c r="F14" s="13">
        <f>2.1*F13</f>
        <v/>
      </c>
      <c r="G14" s="14" t="n"/>
      <c r="M14" s="4" t="inlineStr">
        <is>
          <t>43х93х3,02</t>
        </is>
      </c>
      <c r="N14" s="4" t="inlineStr">
        <is>
          <t>Турция Б</t>
        </is>
      </c>
      <c r="O14" s="4" t="inlineStr">
        <is>
          <t>Турция А</t>
        </is>
      </c>
      <c r="P14" s="4" t="inlineStr">
        <is>
          <t>Турция Малые</t>
        </is>
      </c>
      <c r="Q14" s="1" t="n"/>
      <c r="R14" s="1" t="n"/>
    </row>
    <row r="15" ht="17" customHeight="1" thickBot="1">
      <c r="E15" s="16" t="n"/>
      <c r="F15" s="17" t="n"/>
      <c r="G15" s="18" t="n"/>
      <c r="M15" s="4" t="inlineStr">
        <is>
          <t>Кол-во пак.</t>
        </is>
      </c>
      <c r="N15" s="7" t="n"/>
      <c r="O15" s="7" t="n"/>
      <c r="P15" s="7" t="n"/>
      <c r="Q15" s="1" t="n"/>
      <c r="R15" s="1" t="n"/>
    </row>
    <row r="16" ht="17" customHeight="1" thickBot="1">
      <c r="E16" s="19" t="n"/>
      <c r="F16" s="19" t="n"/>
      <c r="G16" s="19" t="n"/>
      <c r="I16" t="inlineStr">
        <is>
          <t> </t>
        </is>
      </c>
      <c r="M16" s="4" t="inlineStr">
        <is>
          <t>Куб.м.</t>
        </is>
      </c>
      <c r="N16" s="7">
        <f>N15*2.17</f>
        <v/>
      </c>
      <c r="O16" s="7" t="n"/>
      <c r="P16" s="7">
        <f>P15*1.3</f>
        <v/>
      </c>
      <c r="Q16" s="1" t="n"/>
      <c r="R16" s="1" t="n"/>
    </row>
    <row r="17" ht="17" customHeight="1" thickBot="1">
      <c r="F17" s="20" t="inlineStr">
        <is>
          <t>Склад, кол-во пачек</t>
        </is>
      </c>
      <c r="G17" s="26" t="n"/>
      <c r="H17" s="25" t="n"/>
      <c r="M17" s="4" t="inlineStr">
        <is>
          <t>Отбр. Пак.</t>
        </is>
      </c>
      <c r="N17" s="7" t="n"/>
      <c r="O17" s="7" t="n"/>
      <c r="Q17" s="1" t="n"/>
      <c r="R17" s="1" t="n"/>
    </row>
    <row r="18" ht="17" customHeight="1" thickBot="1">
      <c r="F18" s="21" t="inlineStr">
        <is>
          <t>Экспорт</t>
        </is>
      </c>
      <c r="G18" s="21" t="inlineStr">
        <is>
          <t>Кавказ</t>
        </is>
      </c>
      <c r="H18" s="21" t="inlineStr">
        <is>
          <t>Отбраковка</t>
        </is>
      </c>
      <c r="M18" s="4" t="inlineStr">
        <is>
          <t>Отбр. Куб.</t>
        </is>
      </c>
      <c r="N18" s="7">
        <f>N17*2.203</f>
        <v/>
      </c>
      <c r="O18" s="7" t="n"/>
      <c r="Q18" s="1" t="n"/>
      <c r="R18" s="1" t="n"/>
    </row>
    <row r="19" ht="17" customHeight="1" thickBot="1">
      <c r="F19" s="22" t="n">
        <v>0</v>
      </c>
      <c r="G19" s="22" t="n">
        <v>0</v>
      </c>
      <c r="H19" s="22" t="n">
        <v>0</v>
      </c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6">
      <c r="F26" t="n">
        <v>0</v>
      </c>
      <c r="G26" t="n">
        <v>0</v>
      </c>
    </row>
  </sheetData>
  <mergeCells count="6">
    <mergeCell ref="F17:H17"/>
    <mergeCell ref="N5:O5"/>
    <mergeCell ref="J8:K8"/>
    <mergeCell ref="G3:I4"/>
    <mergeCell ref="N13:O13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2026-03-01T15:59:58Z</dcterms:created>
  <dcterms:modified xsi:type="dcterms:W3CDTF">2026-03-01T16:40:56Z</dcterms:modified>
  <cp:lastModifiedBy>Microsoft Office User</cp:lastModifiedBy>
</cp:coreProperties>
</file>